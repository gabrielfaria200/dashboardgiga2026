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potencial1-my.sharepoint.com/personal/gabriel_fa_grpotencial_com_br/Documents/RANKING GIGA 2026/"/>
    </mc:Choice>
  </mc:AlternateContent>
  <xr:revisionPtr revIDLastSave="94" documentId="13_ncr:1_{9E6AE1BA-78CE-4454-B3AC-72BED3A8EFE5}" xr6:coauthVersionLast="47" xr6:coauthVersionMax="47" xr10:uidLastSave="{031DB3B3-13CD-48A0-961B-A9BD97AC97FA}"/>
  <bookViews>
    <workbookView xWindow="-110" yWindow="-110" windowWidth="25820" windowHeight="15500" tabRatio="500" xr2:uid="{00000000-000D-0000-FFFF-FFFF00000000}"/>
  </bookViews>
  <sheets>
    <sheet name="Ranking Geral" sheetId="3" r:id="rId1"/>
    <sheet name="Cursos" sheetId="1" r:id="rId2"/>
    <sheet name="Litragem" sheetId="2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4" i="2" l="1"/>
  <c r="N85" i="1"/>
  <c r="D12" i="3"/>
  <c r="D87" i="3"/>
  <c r="D88" i="3"/>
  <c r="D89" i="3"/>
  <c r="D90" i="3"/>
  <c r="D91" i="3"/>
  <c r="D92" i="3"/>
  <c r="D93" i="3"/>
  <c r="D94" i="3"/>
  <c r="D86" i="3"/>
  <c r="D77" i="3"/>
  <c r="D78" i="3"/>
  <c r="D79" i="3"/>
  <c r="D80" i="3"/>
  <c r="D81" i="3"/>
  <c r="D82" i="3"/>
  <c r="D76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45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24" i="3"/>
  <c r="D4" i="3"/>
  <c r="D5" i="3"/>
  <c r="D6" i="3"/>
  <c r="D7" i="3"/>
  <c r="D8" i="3"/>
  <c r="D9" i="3"/>
  <c r="D10" i="3"/>
  <c r="D11" i="3"/>
  <c r="D13" i="3"/>
  <c r="D14" i="3"/>
  <c r="D15" i="3"/>
  <c r="D16" i="3"/>
  <c r="D17" i="3"/>
  <c r="D18" i="3"/>
  <c r="D3" i="3"/>
  <c r="D19" i="3"/>
  <c r="D20" i="3"/>
  <c r="N4" i="2"/>
  <c r="N5" i="2"/>
  <c r="N6" i="2"/>
  <c r="I4" i="3" s="1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3" i="2"/>
  <c r="D2" i="3" s="1"/>
  <c r="N84" i="1"/>
  <c r="C94" i="3" s="1"/>
  <c r="N83" i="1"/>
  <c r="C93" i="3" s="1"/>
  <c r="N82" i="1"/>
  <c r="C92" i="3" s="1"/>
  <c r="N81" i="1"/>
  <c r="C91" i="3" s="1"/>
  <c r="N80" i="1"/>
  <c r="C90" i="3" s="1"/>
  <c r="N79" i="1"/>
  <c r="C89" i="3" s="1"/>
  <c r="E89" i="3" s="1"/>
  <c r="N78" i="1"/>
  <c r="C88" i="3" s="1"/>
  <c r="E88" i="3" s="1"/>
  <c r="N77" i="1"/>
  <c r="C87" i="3" s="1"/>
  <c r="E87" i="3" s="1"/>
  <c r="N76" i="1"/>
  <c r="C86" i="3" s="1"/>
  <c r="N75" i="1"/>
  <c r="C82" i="3" s="1"/>
  <c r="E82" i="3" s="1"/>
  <c r="N74" i="1"/>
  <c r="C81" i="3" s="1"/>
  <c r="E81" i="3" s="1"/>
  <c r="N73" i="1"/>
  <c r="C80" i="3" s="1"/>
  <c r="E80" i="3" s="1"/>
  <c r="N72" i="1"/>
  <c r="C79" i="3" s="1"/>
  <c r="E79" i="3" s="1"/>
  <c r="N71" i="1"/>
  <c r="C78" i="3" s="1"/>
  <c r="E78" i="3" s="1"/>
  <c r="N70" i="1"/>
  <c r="C77" i="3" s="1"/>
  <c r="E77" i="3" s="1"/>
  <c r="N69" i="1"/>
  <c r="C76" i="3" s="1"/>
  <c r="E76" i="3" s="1"/>
  <c r="N68" i="1"/>
  <c r="C72" i="3" s="1"/>
  <c r="E72" i="3" s="1"/>
  <c r="N67" i="1"/>
  <c r="C71" i="3" s="1"/>
  <c r="E71" i="3" s="1"/>
  <c r="N66" i="1"/>
  <c r="C70" i="3" s="1"/>
  <c r="E70" i="3" s="1"/>
  <c r="N65" i="1"/>
  <c r="C69" i="3" s="1"/>
  <c r="E69" i="3" s="1"/>
  <c r="N64" i="1"/>
  <c r="C68" i="3" s="1"/>
  <c r="E68" i="3" s="1"/>
  <c r="N63" i="1"/>
  <c r="C67" i="3" s="1"/>
  <c r="E67" i="3" s="1"/>
  <c r="N62" i="1"/>
  <c r="C66" i="3" s="1"/>
  <c r="E66" i="3" s="1"/>
  <c r="N61" i="1"/>
  <c r="C65" i="3" s="1"/>
  <c r="E65" i="3" s="1"/>
  <c r="N60" i="1"/>
  <c r="C64" i="3" s="1"/>
  <c r="E64" i="3" s="1"/>
  <c r="N59" i="1"/>
  <c r="C63" i="3" s="1"/>
  <c r="E63" i="3" s="1"/>
  <c r="N58" i="1"/>
  <c r="C62" i="3" s="1"/>
  <c r="E62" i="3" s="1"/>
  <c r="N57" i="1"/>
  <c r="C61" i="3" s="1"/>
  <c r="N56" i="1"/>
  <c r="C60" i="3" s="1"/>
  <c r="N55" i="1"/>
  <c r="C59" i="3" s="1"/>
  <c r="N54" i="1"/>
  <c r="C58" i="3" s="1"/>
  <c r="N53" i="1"/>
  <c r="C57" i="3" s="1"/>
  <c r="N52" i="1"/>
  <c r="C56" i="3" s="1"/>
  <c r="N51" i="1"/>
  <c r="C55" i="3" s="1"/>
  <c r="N50" i="1"/>
  <c r="C54" i="3" s="1"/>
  <c r="N49" i="1"/>
  <c r="C53" i="3" s="1"/>
  <c r="N48" i="1"/>
  <c r="C52" i="3" s="1"/>
  <c r="N47" i="1"/>
  <c r="C51" i="3" s="1"/>
  <c r="N46" i="1"/>
  <c r="C50" i="3" s="1"/>
  <c r="N45" i="1"/>
  <c r="C49" i="3" s="1"/>
  <c r="N44" i="1"/>
  <c r="C48" i="3" s="1"/>
  <c r="N43" i="1"/>
  <c r="C47" i="3" s="1"/>
  <c r="N42" i="1"/>
  <c r="C46" i="3" s="1"/>
  <c r="N41" i="1"/>
  <c r="C45" i="3" s="1"/>
  <c r="E45" i="3" s="1"/>
  <c r="N40" i="1"/>
  <c r="C41" i="3" s="1"/>
  <c r="N39" i="1"/>
  <c r="C40" i="3" s="1"/>
  <c r="N38" i="1"/>
  <c r="C39" i="3" s="1"/>
  <c r="E39" i="3" s="1"/>
  <c r="N37" i="1"/>
  <c r="C38" i="3" s="1"/>
  <c r="E38" i="3" s="1"/>
  <c r="N36" i="1"/>
  <c r="C37" i="3" s="1"/>
  <c r="N35" i="1"/>
  <c r="C36" i="3" s="1"/>
  <c r="N34" i="1"/>
  <c r="C35" i="3" s="1"/>
  <c r="N33" i="1"/>
  <c r="C34" i="3" s="1"/>
  <c r="N32" i="1"/>
  <c r="C33" i="3" s="1"/>
  <c r="N31" i="1"/>
  <c r="C32" i="3" s="1"/>
  <c r="N30" i="1"/>
  <c r="C31" i="3" s="1"/>
  <c r="N29" i="1"/>
  <c r="C30" i="3" s="1"/>
  <c r="E30" i="3" s="1"/>
  <c r="N28" i="1"/>
  <c r="C29" i="3" s="1"/>
  <c r="E29" i="3" s="1"/>
  <c r="N27" i="1"/>
  <c r="C28" i="3" s="1"/>
  <c r="E28" i="3" s="1"/>
  <c r="N26" i="1"/>
  <c r="C27" i="3" s="1"/>
  <c r="E27" i="3" s="1"/>
  <c r="N25" i="1"/>
  <c r="C26" i="3" s="1"/>
  <c r="N24" i="1"/>
  <c r="C25" i="3" s="1"/>
  <c r="N23" i="1"/>
  <c r="C24" i="3" s="1"/>
  <c r="N22" i="1"/>
  <c r="C20" i="3" s="1"/>
  <c r="N21" i="1"/>
  <c r="C19" i="3" s="1"/>
  <c r="N20" i="1"/>
  <c r="C3" i="3" s="1"/>
  <c r="N19" i="1"/>
  <c r="C18" i="3" s="1"/>
  <c r="N18" i="1"/>
  <c r="C17" i="3" s="1"/>
  <c r="N17" i="1"/>
  <c r="C16" i="3" s="1"/>
  <c r="N16" i="1"/>
  <c r="C15" i="3" s="1"/>
  <c r="N15" i="1"/>
  <c r="C14" i="3" s="1"/>
  <c r="N14" i="1"/>
  <c r="C13" i="3" s="1"/>
  <c r="N13" i="1"/>
  <c r="C12" i="3" s="1"/>
  <c r="N12" i="1"/>
  <c r="C11" i="3" s="1"/>
  <c r="N11" i="1"/>
  <c r="C10" i="3" s="1"/>
  <c r="N10" i="1"/>
  <c r="C9" i="3" s="1"/>
  <c r="I6" i="3"/>
  <c r="I5" i="3"/>
  <c r="I3" i="3"/>
  <c r="I2" i="3"/>
  <c r="N9" i="1"/>
  <c r="N8" i="1"/>
  <c r="N7" i="1"/>
  <c r="N6" i="1"/>
  <c r="N5" i="1"/>
  <c r="N4" i="1"/>
  <c r="C2" i="3" s="1"/>
  <c r="E46" i="3" l="1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H6" i="3"/>
  <c r="C8" i="3"/>
  <c r="H5" i="3"/>
  <c r="C7" i="3"/>
  <c r="H4" i="3"/>
  <c r="C6" i="3"/>
  <c r="H1" i="3"/>
  <c r="E2" i="3"/>
  <c r="E90" i="3"/>
  <c r="E91" i="3"/>
  <c r="E92" i="3"/>
  <c r="E93" i="3"/>
  <c r="E94" i="3"/>
  <c r="E86" i="3"/>
  <c r="E40" i="3"/>
  <c r="E41" i="3"/>
  <c r="E24" i="3"/>
  <c r="E6" i="3"/>
  <c r="E7" i="3"/>
  <c r="E8" i="3"/>
  <c r="E25" i="3"/>
  <c r="E26" i="3"/>
  <c r="E31" i="3"/>
  <c r="E32" i="3"/>
  <c r="E33" i="3"/>
  <c r="E34" i="3"/>
  <c r="E35" i="3"/>
  <c r="E36" i="3"/>
  <c r="E37" i="3"/>
  <c r="E9" i="3"/>
  <c r="E10" i="3"/>
  <c r="E11" i="3"/>
  <c r="E12" i="3"/>
  <c r="E13" i="3"/>
  <c r="E14" i="3"/>
  <c r="E15" i="3"/>
  <c r="E16" i="3"/>
  <c r="E17" i="3"/>
  <c r="E18" i="3"/>
  <c r="E19" i="3"/>
  <c r="E20" i="3"/>
  <c r="E3" i="3"/>
  <c r="H3" i="3"/>
  <c r="J3" i="3" s="1"/>
  <c r="C5" i="3"/>
  <c r="E5" i="3" s="1"/>
  <c r="H2" i="3"/>
  <c r="C4" i="3"/>
  <c r="E4" i="3" s="1"/>
  <c r="J2" i="3"/>
  <c r="J4" i="3"/>
  <c r="J6" i="3"/>
  <c r="J5" i="3"/>
  <c r="I1" i="3" l="1"/>
  <c r="J1" i="3" s="1"/>
</calcChain>
</file>

<file path=xl/sharedStrings.xml><?xml version="1.0" encoding="utf-8"?>
<sst xmlns="http://schemas.openxmlformats.org/spreadsheetml/2006/main" count="427" uniqueCount="124">
  <si>
    <t>RANKING 0 a 50m³</t>
  </si>
  <si>
    <t>Nome do Posto</t>
  </si>
  <si>
    <t>Pontos Cursos</t>
  </si>
  <si>
    <t>Pontos Combustíveis</t>
  </si>
  <si>
    <t>Total Geral</t>
  </si>
  <si>
    <t>Posto Nacional</t>
  </si>
  <si>
    <t>7784 - ROSANE BERSCH HARTWIG ME - FILIAL 01</t>
  </si>
  <si>
    <t>Posto Tomazi</t>
  </si>
  <si>
    <t>13968 - MARIA DAS MERCES DE SA OLIVEIRA BATISTA DE ABREU LTDA MATRIZ</t>
  </si>
  <si>
    <t>Posto Nacional 2</t>
  </si>
  <si>
    <t>11928 - MARCOS ALFREDO POZZEBON</t>
  </si>
  <si>
    <t>Auto Posto Cajati 230</t>
  </si>
  <si>
    <t>11386 - COMERCIO DE COMBUSTIVEIS ITATIBENSE LTDA</t>
  </si>
  <si>
    <t>Barão</t>
  </si>
  <si>
    <t>10389 - AUTO POSTO ABREU LTDA</t>
  </si>
  <si>
    <t>Posto de Combustíveis</t>
  </si>
  <si>
    <t>3999 - POSTO ROSINSKI LTDA</t>
  </si>
  <si>
    <t>1283 - MARILEI DE FATIMA ALT LTDA</t>
  </si>
  <si>
    <t>4735 - AUTO POSTO CASTELLO LTDA</t>
  </si>
  <si>
    <t>8622 - COOP MISTA DA AGRIC FAMILIAR DE SAO JOAO DO OESTE COOPAFASJO</t>
  </si>
  <si>
    <t>2664 - AUTO POSTO ANCHIETA LTDA</t>
  </si>
  <si>
    <t>6357 - AUTO POSTO DIONISIO LTDA</t>
  </si>
  <si>
    <t>11839 - COMERCIO DE COMBUSTIVEIS BARRA DO JACARE LTDA</t>
  </si>
  <si>
    <t>13450 - DANIELI E DANIELI AUTO POSTO</t>
  </si>
  <si>
    <t>4266 - POSTO XAVIER E XAVIER LTDA</t>
  </si>
  <si>
    <t>12380 - LEKALL COMERCIO E DISTRIBUICAO DE COMBUSTIVEIS LTDA</t>
  </si>
  <si>
    <t>667 - ANSILIERO E NAVA LTDA ME</t>
  </si>
  <si>
    <t>12181 - POSTO JK DERIVADOS DE PETROLEO LTDA</t>
  </si>
  <si>
    <t>13969 - MARIA DAS MERCES DE SA OLIVEIRA BATISTA DE ABREU LTDA FILIAL</t>
  </si>
  <si>
    <t>8571 - COMERCIAL DE COMBUSTIVEIS RG LTDA</t>
  </si>
  <si>
    <t>RANKING 51 a 100m³</t>
  </si>
  <si>
    <t>11088 - POSTO CENTRAL GUARANIACU LTDA</t>
  </si>
  <si>
    <t>5264 - AUTO POSTO BOM JESUS ITAIOPOLIS LTDA</t>
  </si>
  <si>
    <t>11636 - PETROMULLER ABASTECEDORA CASCATA LTDA</t>
  </si>
  <si>
    <t>11403 - POSTO SENHOR DO BONFIM LTDA</t>
  </si>
  <si>
    <t>5149 - POSTO DE COMBUSTIVEIS PARQUE LTDA EPP</t>
  </si>
  <si>
    <t>3139 - POSTO SANTOS E SILVA LTDA</t>
  </si>
  <si>
    <t>5953 - COMERCIO DE COMBUSTIVEIS OLCZEWSKI LTDA EPP</t>
  </si>
  <si>
    <t>14033 - HS COMERCIO DE COMBUSTIVEIS LTDA</t>
  </si>
  <si>
    <t>13516 - AUTO POSTO FORTI CORSE LTDA</t>
  </si>
  <si>
    <t>12305 - ROBERTO AZAMBUJA LTDA</t>
  </si>
  <si>
    <t>6701 - AUTO POSTO MARIA RITA LTDA</t>
  </si>
  <si>
    <t>9262 - EXCELENCIA EM COMBUSTIVEIS IRANI LTDA</t>
  </si>
  <si>
    <t>9617 - AUTO POSTO MACHADO E VIEIRA LTDA</t>
  </si>
  <si>
    <t>8314 - COMBUSTIVEIS E CONVENIENCIA OKATA LTDA</t>
  </si>
  <si>
    <t>5005 - POSTO TOP HAMMER LTDA</t>
  </si>
  <si>
    <t xml:space="preserve">6481 - A COIMBRA PEPECE &amp; CIA LTDA </t>
  </si>
  <si>
    <t>5755 - FARINA COMERCIO DE COMBUSTIVEIS E LUBRIFICANTES LTDA</t>
  </si>
  <si>
    <t>POSTO BATEL LTDA</t>
  </si>
  <si>
    <t>RANKING 101 a 200m³</t>
  </si>
  <si>
    <t>4251 - AUTO POSTO RIO DO CAMPO LTDA</t>
  </si>
  <si>
    <t>11069 - AUTO POSTO TREIS CORACOES LTDA</t>
  </si>
  <si>
    <t>4506 - POSTO IPE AMARELO 5</t>
  </si>
  <si>
    <t>10798 - POSTO CAPIM LTDA</t>
  </si>
  <si>
    <t>13888- POSTO RODA MAIS 9</t>
  </si>
  <si>
    <t xml:space="preserve"> 611 - EDMILSON DA ROCHA E CIA LTDA          </t>
  </si>
  <si>
    <t>5586 - POSTO DE COMBUSTIVEIS TOMAZI LTDA</t>
  </si>
  <si>
    <t>12584 - MANDAGUACU DIESEL GASOLINA LTDA</t>
  </si>
  <si>
    <t>12494 - POSTO REDUTO LTDA</t>
  </si>
  <si>
    <t>11578 - PM PETRO BOM SUCESSO DE ITARARE LTDA</t>
  </si>
  <si>
    <t>13736 - AMERICO CABRAL &amp; CIA</t>
  </si>
  <si>
    <t xml:space="preserve">597 - J.C. GADENS E CIA LTDA          </t>
  </si>
  <si>
    <t>2614 - AUTO POSTO LARANJAL LTDA</t>
  </si>
  <si>
    <t>10538 - JOSEFINA SCHIAVO COELHO LTDA</t>
  </si>
  <si>
    <t>1072 - LEOM - COMERCIO DE COMBUSTIVEIS LTDA</t>
  </si>
  <si>
    <t>2433 - AUTO POSTO POLIS LTDA EPP - FILIAL 01</t>
  </si>
  <si>
    <t>10275 - POSTO ZZ LTDA</t>
  </si>
  <si>
    <t>842 - AUTO POSTO SAO JOSE 2002 COM DE COMB  E LUBRIF LTDA</t>
  </si>
  <si>
    <t>3965 - AUTO POSTO NOSSA SENHORA DA GUIA LTDA</t>
  </si>
  <si>
    <t>12298 - POSTO TETE II LTDA</t>
  </si>
  <si>
    <t>2677 - POSTO CAMINHOS DO PARQUE LTDA</t>
  </si>
  <si>
    <t>5030 - R S LEAL E CIA LTDA</t>
  </si>
  <si>
    <t>4721 -POSTO DOS ESTADOS</t>
  </si>
  <si>
    <t>214 - AUTO POSTO VALOES LTDA</t>
  </si>
  <si>
    <t>5625 - AUTO POSTO DE COMBUSTIVEIS BORBA CORREIA E BEIRA LTDA</t>
  </si>
  <si>
    <t>6193 - GERLINGER E GIUNTA LTDA</t>
  </si>
  <si>
    <t>12420 - DIOGA REVENDEDORA DE OLEOS E GASOLINA LTDA</t>
  </si>
  <si>
    <t>1075 - POSTO ZAKA JARDIM LTDA</t>
  </si>
  <si>
    <t>RANKING 201 a 500m³</t>
  </si>
  <si>
    <t xml:space="preserve">2472 - COMERCIO DE COMBUSTIVEIS POLLY POSITION LTDA         </t>
  </si>
  <si>
    <t>12827 - COOPERATIVA AGROPECUARIA PASSO DA FELICIDADE</t>
  </si>
  <si>
    <t>1038 - POSTO SAVAGE LTDA</t>
  </si>
  <si>
    <t>453 - AUTO POSTO CAJATI LTDA</t>
  </si>
  <si>
    <t>11530 - POSTO DE COMBUSTIVEIS RIO DOCE LTDA</t>
  </si>
  <si>
    <t>13108- DANIELI E DANIELI AUTO POSTO LTDA</t>
  </si>
  <si>
    <t>1950 - FOPA &amp; GOLANOSKI LTDA</t>
  </si>
  <si>
    <t>RANKING acima de 501m³</t>
  </si>
  <si>
    <t>153 - MAHLE 11 COMERCIO DE COMBUSTIVEIS LTDA</t>
  </si>
  <si>
    <t>6565 - AUTO POSTO E MECANICA BARAO LTDA - FILIAL 01</t>
  </si>
  <si>
    <t>1152 -JF COMERCIO DE COMB.</t>
  </si>
  <si>
    <t>6258 - REDE TONIN COMERCIO DE COMBUSTIVEIS - POSTO 369 LTDA</t>
  </si>
  <si>
    <t>1762 - AUTO POSTO LB LTDA</t>
  </si>
  <si>
    <t>11486 - AUTO POSTO OESTE VERDE LTDA</t>
  </si>
  <si>
    <t>2295 - POSTO PARQUE DO BOSQUE LTDA</t>
  </si>
  <si>
    <t>AUTO POSTO ALLEGRO PIRAI LTDA</t>
  </si>
  <si>
    <t>1872 - AUTO POSTO UBIRATA LEAL LTDA</t>
  </si>
  <si>
    <t>Nome dos Postos</t>
  </si>
  <si>
    <t>Curso Carlos Bispo</t>
  </si>
  <si>
    <t>Curso Brasil Postos</t>
  </si>
  <si>
    <t>Total Pontos
Cursos</t>
  </si>
  <si>
    <t>Abril</t>
  </si>
  <si>
    <t>Maio</t>
  </si>
  <si>
    <t>Junho</t>
  </si>
  <si>
    <t>Setembro</t>
  </si>
  <si>
    <t>Outubro</t>
  </si>
  <si>
    <t>Novembro</t>
  </si>
  <si>
    <t>AO VIVO</t>
  </si>
  <si>
    <t>ao vivo</t>
  </si>
  <si>
    <t>4687 - COMERCIO DE COMBUSTIVEIS ROBERTINHO LTDA</t>
  </si>
  <si>
    <t>📋 Legenda de Preenchimento</t>
  </si>
  <si>
    <t>12 pontos</t>
  </si>
  <si>
    <t>EAD</t>
  </si>
  <si>
    <t>8 pontos</t>
  </si>
  <si>
    <t>(vazio)</t>
  </si>
  <si>
    <t>0 pontos</t>
  </si>
  <si>
    <t>Litragem 2026</t>
  </si>
  <si>
    <t>Total Pontos
Combustíveis</t>
  </si>
  <si>
    <t>Janeiro</t>
  </si>
  <si>
    <t>Fevereiro</t>
  </si>
  <si>
    <t>Março</t>
  </si>
  <si>
    <t>Julho</t>
  </si>
  <si>
    <t>Agosto</t>
  </si>
  <si>
    <t>Dezembro</t>
  </si>
  <si>
    <t>Litragem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</si>
</sst>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color theme="1" tint="0.34998626667073579"/>
      <name val="Work Sans"/>
    </font>
    <font>
      <sz val="8"/>
      <name val="Calibri"/>
      <family val="2"/>
      <charset val="1"/>
    </font>
    <font>
      <b/>
      <sz val="11"/>
      <color theme="0"/>
      <name val="Work Sans"/>
    </font>
    <font>
      <b/>
      <sz val="12"/>
      <color theme="0"/>
      <name val="Work Sans"/>
    </font>
    <font>
      <b/>
      <sz val="14"/>
      <color theme="0"/>
      <name val="Work Sans"/>
    </font>
    <font>
      <b/>
      <sz val="11"/>
      <color rgb="FFFFFFFF"/>
      <name val="Work Sans"/>
    </font>
    <font>
      <b/>
      <sz val="14"/>
      <color theme="1"/>
      <name val="Work Sans"/>
    </font>
    <font>
      <sz val="11"/>
      <name val="Work Sans"/>
    </font>
    <font>
      <b/>
      <sz val="12"/>
      <name val="Work Sans"/>
    </font>
    <font>
      <sz val="11"/>
      <color theme="1"/>
      <name val="Work Sans"/>
    </font>
    <font>
      <b/>
      <sz val="11"/>
      <name val="Work Sans"/>
    </font>
    <font>
      <b/>
      <sz val="12"/>
      <color rgb="FFFFFFFF"/>
      <name val="Work Sans"/>
    </font>
    <font>
      <sz val="10"/>
      <name val="Work Sans"/>
    </font>
    <font>
      <b/>
      <sz val="10"/>
      <color rgb="FF000000"/>
      <name val="Work Sans"/>
    </font>
    <font>
      <b/>
      <sz val="10"/>
      <name val="Work Sans"/>
    </font>
    <font>
      <b/>
      <sz val="10"/>
      <color theme="1" tint="0.34998626667073579"/>
      <name val="Work Sans"/>
    </font>
    <font>
      <b/>
      <sz val="16"/>
      <name val="Work Sans"/>
    </font>
    <font>
      <b/>
      <sz val="9"/>
      <color rgb="FFFFFFFF"/>
      <name val="Work Sans"/>
    </font>
    <font>
      <b/>
      <sz val="11"/>
      <color theme="1" tint="0.14999847407452621"/>
      <name val="Work Sans"/>
    </font>
  </fonts>
  <fills count="39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70AD47"/>
        <bgColor rgb="FF99CC00"/>
      </patternFill>
    </fill>
    <fill>
      <patternFill patternType="solid">
        <fgColor rgb="FFD9D9D9"/>
        <bgColor rgb="FFBDD7EE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/>
        <bgColor rgb="FFFAE5D3"/>
      </patternFill>
    </fill>
    <fill>
      <patternFill patternType="solid">
        <fgColor theme="0" tint="-4.9989318521683403E-2"/>
        <bgColor rgb="FFFAE5D3"/>
      </patternFill>
    </fill>
    <fill>
      <patternFill patternType="solid">
        <fgColor rgb="FF28B877"/>
        <bgColor rgb="FF1A3A5C"/>
      </patternFill>
    </fill>
    <fill>
      <patternFill patternType="solid">
        <fgColor rgb="FF28B877"/>
        <bgColor indexed="64"/>
      </patternFill>
    </fill>
    <fill>
      <patternFill patternType="solid">
        <fgColor rgb="FFA8EECE"/>
        <bgColor indexed="64"/>
      </patternFill>
    </fill>
    <fill>
      <patternFill patternType="solid">
        <fgColor rgb="FFCDF5E3"/>
        <bgColor indexed="64"/>
      </patternFill>
    </fill>
    <fill>
      <patternFill patternType="solid">
        <fgColor rgb="FF2561C1"/>
        <bgColor rgb="FF0066CC"/>
      </patternFill>
    </fill>
    <fill>
      <patternFill patternType="solid">
        <fgColor rgb="FF2561C1"/>
        <bgColor indexed="64"/>
      </patternFill>
    </fill>
    <fill>
      <patternFill patternType="solid">
        <fgColor rgb="FF6B99E3"/>
        <bgColor rgb="FF0066CC"/>
      </patternFill>
    </fill>
    <fill>
      <patternFill patternType="solid">
        <fgColor rgb="FF2C6DD6"/>
        <bgColor rgb="FF0066CC"/>
      </patternFill>
    </fill>
    <fill>
      <patternFill patternType="solid">
        <fgColor theme="0" tint="-4.9989318521683403E-2"/>
        <bgColor rgb="FFBDD7EE"/>
      </patternFill>
    </fill>
    <fill>
      <patternFill patternType="solid">
        <fgColor rgb="FF2561C1"/>
        <bgColor rgb="FF333399"/>
      </patternFill>
    </fill>
    <fill>
      <patternFill patternType="solid">
        <fgColor rgb="FF2C6DD6"/>
        <bgColor indexed="64"/>
      </patternFill>
    </fill>
    <fill>
      <patternFill patternType="solid">
        <fgColor rgb="FF6B99E3"/>
        <bgColor indexed="64"/>
      </patternFill>
    </fill>
    <fill>
      <patternFill patternType="solid">
        <fgColor rgb="FF2CCC84"/>
        <bgColor rgb="FF1A3A5C"/>
      </patternFill>
    </fill>
    <fill>
      <patternFill patternType="solid">
        <fgColor rgb="FF2CCC84"/>
        <bgColor indexed="64"/>
      </patternFill>
    </fill>
    <fill>
      <patternFill patternType="solid">
        <fgColor rgb="FF29BF7B"/>
        <bgColor rgb="FF99CC00"/>
      </patternFill>
    </fill>
    <fill>
      <patternFill patternType="solid">
        <fgColor rgb="FF29BF7B"/>
        <bgColor indexed="64"/>
      </patternFill>
    </fill>
    <fill>
      <patternFill patternType="solid">
        <fgColor rgb="FFF5A32B"/>
        <bgColor rgb="FF333399"/>
      </patternFill>
    </fill>
    <fill>
      <patternFill patternType="solid">
        <fgColor rgb="FFFBDBAD"/>
        <bgColor rgb="FFD9D9D9"/>
      </patternFill>
    </fill>
    <fill>
      <patternFill patternType="solid">
        <fgColor rgb="FFFCE6C6"/>
        <bgColor rgb="FFD9D9D9"/>
      </patternFill>
    </fill>
    <fill>
      <patternFill patternType="solid">
        <fgColor rgb="FFF5A32B"/>
        <bgColor indexed="64"/>
      </patternFill>
    </fill>
    <fill>
      <patternFill patternType="solid">
        <fgColor theme="0" tint="-0.14999847407452621"/>
        <bgColor rgb="FF333399"/>
      </patternFill>
    </fill>
    <fill>
      <patternFill patternType="solid">
        <fgColor theme="0" tint="-0.14999847407452621"/>
        <bgColor rgb="FF99CC00"/>
      </patternFill>
    </fill>
    <fill>
      <patternFill patternType="solid">
        <fgColor theme="0" tint="-4.9989318521683403E-2"/>
        <bgColor rgb="FF0066CC"/>
      </patternFill>
    </fill>
    <fill>
      <patternFill patternType="solid">
        <fgColor theme="0" tint="-0.34998626667073579"/>
        <bgColor rgb="FF993300"/>
      </patternFill>
    </fill>
    <fill>
      <patternFill patternType="solid">
        <fgColor theme="0" tint="-0.249977111117893"/>
        <bgColor rgb="FF333399"/>
      </patternFill>
    </fill>
    <fill>
      <patternFill patternType="solid">
        <fgColor theme="0" tint="-0.249977111117893"/>
        <bgColor rgb="FF99CC00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rgb="FFAAAAAA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theme="0" tint="-0.34998626667073579"/>
      </left>
      <right/>
      <top style="thin">
        <color rgb="FFAAAAAA"/>
      </top>
      <bottom style="thin">
        <color rgb="FFAAAAAA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9" fillId="0" borderId="0" xfId="0" applyFont="1" applyProtection="1">
      <protection locked="0"/>
    </xf>
    <xf numFmtId="0" fontId="12" fillId="0" borderId="0" xfId="0" applyFont="1"/>
    <xf numFmtId="0" fontId="15" fillId="5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3" fillId="0" borderId="0" xfId="0" applyFont="1"/>
    <xf numFmtId="0" fontId="8" fillId="3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49" fontId="18" fillId="7" borderId="2" xfId="1" applyNumberFormat="1" applyFont="1" applyFill="1" applyBorder="1" applyAlignment="1">
      <alignment horizontal="left" vertical="center" indent="1"/>
    </xf>
    <xf numFmtId="49" fontId="18" fillId="8" borderId="2" xfId="1" applyNumberFormat="1" applyFont="1" applyFill="1" applyBorder="1" applyAlignment="1">
      <alignment horizontal="left" vertical="center" indent="1"/>
    </xf>
    <xf numFmtId="0" fontId="20" fillId="19" borderId="0" xfId="0" applyFont="1" applyFill="1" applyAlignment="1">
      <alignment horizontal="center" vertical="center"/>
    </xf>
    <xf numFmtId="0" fontId="20" fillId="20" borderId="0" xfId="0" applyFont="1" applyFill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indent="1"/>
    </xf>
    <xf numFmtId="0" fontId="12" fillId="14" borderId="0" xfId="0" applyFont="1" applyFill="1"/>
    <xf numFmtId="0" fontId="6" fillId="32" borderId="0" xfId="0" applyFont="1" applyFill="1" applyAlignment="1" applyProtection="1">
      <alignment horizontal="center" vertical="center"/>
      <protection locked="0"/>
    </xf>
    <xf numFmtId="0" fontId="7" fillId="32" borderId="0" xfId="0" applyFont="1" applyFill="1" applyAlignment="1" applyProtection="1">
      <alignment horizontal="center" vertical="center"/>
      <protection locked="0"/>
    </xf>
    <xf numFmtId="0" fontId="21" fillId="33" borderId="0" xfId="0" applyFont="1" applyFill="1" applyAlignment="1" applyProtection="1">
      <alignment horizontal="center" vertical="center" wrapText="1"/>
      <protection locked="0"/>
    </xf>
    <xf numFmtId="0" fontId="21" fillId="35" borderId="0" xfId="0" applyFont="1" applyFill="1" applyAlignment="1" applyProtection="1">
      <alignment horizontal="center" vertical="center" wrapText="1"/>
      <protection locked="0"/>
    </xf>
    <xf numFmtId="0" fontId="21" fillId="34" borderId="0" xfId="0" applyFont="1" applyFill="1" applyAlignment="1" applyProtection="1">
      <alignment horizontal="center" vertical="center" wrapText="1"/>
      <protection locked="0"/>
    </xf>
    <xf numFmtId="0" fontId="5" fillId="36" borderId="0" xfId="0" applyFont="1" applyFill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49" fontId="3" fillId="7" borderId="2" xfId="1" applyNumberFormat="1" applyFont="1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49" fontId="3" fillId="8" borderId="2" xfId="1" applyNumberFormat="1" applyFont="1" applyFill="1" applyBorder="1" applyAlignment="1" applyProtection="1">
      <alignment horizontal="left" vertical="center"/>
      <protection locked="0"/>
    </xf>
    <xf numFmtId="0" fontId="12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21" fillId="37" borderId="0" xfId="0" applyFont="1" applyFill="1" applyAlignment="1" applyProtection="1">
      <alignment horizontal="center" vertical="center" wrapText="1"/>
      <protection locked="0"/>
    </xf>
    <xf numFmtId="0" fontId="21" fillId="38" borderId="0" xfId="0" applyFont="1" applyFill="1" applyAlignment="1" applyProtection="1">
      <alignment horizontal="center" vertical="center" wrapText="1"/>
      <protection locked="0"/>
    </xf>
    <xf numFmtId="0" fontId="8" fillId="36" borderId="0" xfId="0" applyFont="1" applyFill="1" applyAlignment="1" applyProtection="1">
      <alignment horizontal="center" vertical="center" wrapText="1"/>
      <protection locked="0"/>
    </xf>
    <xf numFmtId="49" fontId="3" fillId="0" borderId="2" xfId="1" applyNumberFormat="1" applyFont="1" applyBorder="1" applyAlignment="1" applyProtection="1">
      <alignment horizontal="left" vertical="center"/>
      <protection locked="0"/>
    </xf>
    <xf numFmtId="0" fontId="9" fillId="0" borderId="0" xfId="0" applyFont="1" applyAlignment="1">
      <alignment horizontal="center" vertical="center"/>
    </xf>
    <xf numFmtId="0" fontId="10" fillId="11" borderId="1" xfId="0" applyFont="1" applyFill="1" applyBorder="1" applyAlignment="1" applyProtection="1">
      <alignment horizontal="center" vertical="center"/>
      <protection locked="0"/>
    </xf>
    <xf numFmtId="0" fontId="11" fillId="11" borderId="1" xfId="0" applyFont="1" applyFill="1" applyBorder="1" applyAlignment="1" applyProtection="1">
      <alignment horizontal="center" vertical="center"/>
      <protection locked="0"/>
    </xf>
    <xf numFmtId="0" fontId="10" fillId="12" borderId="1" xfId="0" applyFont="1" applyFill="1" applyBorder="1" applyAlignment="1" applyProtection="1">
      <alignment horizontal="center" vertical="center"/>
      <protection locked="0"/>
    </xf>
    <xf numFmtId="0" fontId="11" fillId="12" borderId="1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6" fillId="30" borderId="1" xfId="0" applyFont="1" applyFill="1" applyBorder="1" applyAlignment="1">
      <alignment horizontal="center" vertical="center"/>
    </xf>
    <xf numFmtId="0" fontId="16" fillId="31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4" fillId="29" borderId="0" xfId="0" applyFont="1" applyFill="1" applyAlignment="1">
      <alignment horizontal="center" vertical="center" wrapText="1"/>
    </xf>
    <xf numFmtId="0" fontId="14" fillId="29" borderId="3" xfId="0" applyFont="1" applyFill="1" applyBorder="1" applyAlignment="1">
      <alignment horizontal="center" vertical="center" wrapText="1"/>
    </xf>
    <xf numFmtId="0" fontId="19" fillId="21" borderId="0" xfId="0" applyFont="1" applyFill="1" applyAlignment="1">
      <alignment horizontal="left" vertical="center" indent="1"/>
    </xf>
    <xf numFmtId="0" fontId="19" fillId="21" borderId="4" xfId="0" applyFont="1" applyFill="1" applyBorder="1" applyAlignment="1">
      <alignment horizontal="left" vertical="center" indent="1"/>
    </xf>
    <xf numFmtId="0" fontId="8" fillId="27" borderId="0" xfId="0" applyFont="1" applyFill="1" applyAlignment="1">
      <alignment horizontal="center" vertical="center"/>
    </xf>
    <xf numFmtId="0" fontId="8" fillId="20" borderId="0" xfId="0" applyFont="1" applyFill="1" applyAlignment="1">
      <alignment horizontal="center" vertical="center"/>
    </xf>
    <xf numFmtId="0" fontId="8" fillId="19" borderId="0" xfId="0" applyFont="1" applyFill="1" applyAlignment="1">
      <alignment horizontal="center" vertical="center"/>
    </xf>
    <xf numFmtId="0" fontId="14" fillId="22" borderId="0" xfId="0" applyFont="1" applyFill="1" applyAlignment="1">
      <alignment horizontal="center" vertical="center"/>
    </xf>
    <xf numFmtId="0" fontId="8" fillId="25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15" fillId="6" borderId="7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4" fillId="17" borderId="0" xfId="0" applyFont="1" applyFill="1" applyAlignment="1">
      <alignment horizontal="center" vertical="center"/>
    </xf>
    <xf numFmtId="0" fontId="14" fillId="17" borderId="3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8" fillId="13" borderId="3" xfId="0" applyFont="1" applyFill="1" applyBorder="1" applyAlignment="1">
      <alignment horizontal="center" vertical="center" wrapText="1"/>
    </xf>
    <xf numFmtId="49" fontId="18" fillId="8" borderId="8" xfId="1" applyNumberFormat="1" applyFont="1" applyFill="1" applyBorder="1" applyAlignment="1">
      <alignment horizontal="center" vertical="center"/>
    </xf>
    <xf numFmtId="49" fontId="18" fillId="8" borderId="9" xfId="1" applyNumberFormat="1" applyFont="1" applyFill="1" applyBorder="1" applyAlignment="1">
      <alignment horizontal="center" vertical="center"/>
    </xf>
    <xf numFmtId="49" fontId="18" fillId="8" borderId="10" xfId="1" applyNumberFormat="1" applyFont="1" applyFill="1" applyBorder="1" applyAlignment="1">
      <alignment horizontal="center" vertical="center"/>
    </xf>
    <xf numFmtId="0" fontId="12" fillId="0" borderId="0" xfId="0" applyFont="1" applyAlignment="1" applyProtection="1">
      <protection locked="0"/>
    </xf>
    <xf numFmtId="0" fontId="12" fillId="18" borderId="0" xfId="0" applyFont="1" applyFill="1" applyAlignment="1"/>
    <xf numFmtId="0" fontId="12" fillId="14" borderId="0" xfId="0" applyFont="1" applyFill="1" applyAlignment="1"/>
    <xf numFmtId="0" fontId="12" fillId="23" borderId="0" xfId="0" applyFont="1" applyFill="1" applyAlignment="1"/>
    <xf numFmtId="0" fontId="12" fillId="24" borderId="0" xfId="0" applyFont="1" applyFill="1" applyAlignment="1"/>
    <xf numFmtId="0" fontId="12" fillId="28" borderId="0" xfId="0" applyFont="1" applyFill="1" applyAlignment="1"/>
    <xf numFmtId="0" fontId="12" fillId="26" borderId="0" xfId="0" applyFont="1" applyFill="1" applyAlignment="1"/>
  </cellXfs>
  <cellStyles count="2">
    <cellStyle name="Normal" xfId="0" builtinId="0"/>
    <cellStyle name="Normal 2" xfId="1" xr:uid="{5865BB93-1EEF-4DB7-B9BB-6F5D649C7C5E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E5D3"/>
      <rgbColor rgb="FF2E75B6"/>
      <rgbColor rgb="FF33CCCC"/>
      <rgbColor rgb="FF99CC00"/>
      <rgbColor rgb="FFFFCC00"/>
      <rgbColor rgb="FFFF9900"/>
      <rgbColor rgb="FFC55A11"/>
      <rgbColor rgb="FF666699"/>
      <rgbColor rgb="FFAAAAAA"/>
      <rgbColor rgb="FF1A3A5C"/>
      <rgbColor rgb="FF70AD47"/>
      <rgbColor rgb="FF003300"/>
      <rgbColor rgb="FF333300"/>
      <rgbColor rgb="FF993300"/>
      <rgbColor rgb="FF993366"/>
      <rgbColor rgb="FF333399"/>
      <rgbColor rgb="FF1E5C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5A32B"/>
      <color rgb="FFFCE6C6"/>
      <color rgb="FFFBDBD3"/>
      <color rgb="FFFBDBAD"/>
      <color rgb="FFF7B75D"/>
      <color rgb="FF29BF7B"/>
      <color rgb="FF28B877"/>
      <color rgb="FF2CCC84"/>
      <color rgb="FF25AB6E"/>
      <color rgb="FF6B99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3A5C"/>
  </sheetPr>
  <dimension ref="A1:J94"/>
  <sheetViews>
    <sheetView tabSelected="1" topLeftCell="A22" zoomScale="85" zoomScaleNormal="85" workbookViewId="0">
      <pane xSplit="1" topLeftCell="B79" activePane="topRight" state="frozen"/>
      <selection pane="topRight" activeCell="A86" sqref="A86"/>
    </sheetView>
  </sheetViews>
  <sheetFormatPr defaultColWidth="8.5703125" defaultRowHeight="22.5"/>
  <cols>
    <col min="1" max="1" width="17.28515625" style="3" customWidth="1"/>
    <col min="2" max="2" width="75.28515625" style="35" bestFit="1" customWidth="1"/>
    <col min="3" max="3" width="18.140625" style="35" customWidth="1"/>
    <col min="4" max="4" width="25.140625" style="35" customWidth="1"/>
    <col min="5" max="5" width="15.85546875" style="35" customWidth="1"/>
    <col min="6" max="6" width="8.5703125" style="31"/>
    <col min="7" max="10" width="13" style="31" hidden="1" customWidth="1"/>
    <col min="11" max="16384" width="8.5703125" style="31"/>
  </cols>
  <sheetData>
    <row r="1" spans="1:10" ht="30" customHeight="1">
      <c r="A1" s="25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G1" s="31" t="s">
        <v>5</v>
      </c>
      <c r="H1" s="31">
        <f>Cursos!N4</f>
        <v>0</v>
      </c>
      <c r="I1" s="31">
        <f>Litragem!N3</f>
        <v>0</v>
      </c>
      <c r="J1" s="31">
        <f t="shared" ref="J1:J6" si="0">H1+I1</f>
        <v>0</v>
      </c>
    </row>
    <row r="2" spans="1:10" s="33" customFormat="1" ht="24.95" customHeight="1">
      <c r="A2" s="41">
        <v>1</v>
      </c>
      <c r="B2" s="32" t="s">
        <v>6</v>
      </c>
      <c r="C2" s="42">
        <f>Cursos!N4</f>
        <v>0</v>
      </c>
      <c r="D2" s="42">
        <f>Litragem!N3</f>
        <v>0</v>
      </c>
      <c r="E2" s="43">
        <f t="shared" ref="E2:E20" si="1">SUM(C2+D2)</f>
        <v>0</v>
      </c>
      <c r="G2" s="33" t="s">
        <v>7</v>
      </c>
      <c r="H2" s="33">
        <f>Cursos!N5</f>
        <v>12</v>
      </c>
      <c r="I2" s="33">
        <f>Litragem!N4</f>
        <v>0</v>
      </c>
      <c r="J2" s="33">
        <f t="shared" si="0"/>
        <v>12</v>
      </c>
    </row>
    <row r="3" spans="1:10" s="33" customFormat="1" ht="24.95" customHeight="1">
      <c r="A3" s="41">
        <v>2</v>
      </c>
      <c r="B3" s="34" t="s">
        <v>8</v>
      </c>
      <c r="C3" s="44">
        <f>Cursos!N20</f>
        <v>0</v>
      </c>
      <c r="D3" s="44">
        <f>Litragem!N19</f>
        <v>0</v>
      </c>
      <c r="E3" s="45">
        <f t="shared" si="1"/>
        <v>0</v>
      </c>
      <c r="G3" s="33" t="s">
        <v>9</v>
      </c>
      <c r="H3" s="33">
        <f>Cursos!N6</f>
        <v>0</v>
      </c>
      <c r="I3" s="33">
        <f>Litragem!N5</f>
        <v>0</v>
      </c>
      <c r="J3" s="33">
        <f t="shared" si="0"/>
        <v>0</v>
      </c>
    </row>
    <row r="4" spans="1:10" s="33" customFormat="1" ht="24.95" customHeight="1">
      <c r="A4" s="41">
        <v>3</v>
      </c>
      <c r="B4" s="32" t="s">
        <v>10</v>
      </c>
      <c r="C4" s="46">
        <f>Cursos!N5</f>
        <v>12</v>
      </c>
      <c r="D4" s="46">
        <f>Litragem!N4</f>
        <v>0</v>
      </c>
      <c r="E4" s="47">
        <f t="shared" si="1"/>
        <v>12</v>
      </c>
      <c r="G4" s="33" t="s">
        <v>11</v>
      </c>
      <c r="H4" s="33">
        <f>Cursos!N7</f>
        <v>0</v>
      </c>
      <c r="I4" s="33">
        <f>Litragem!N6</f>
        <v>0</v>
      </c>
      <c r="J4" s="33">
        <f t="shared" si="0"/>
        <v>0</v>
      </c>
    </row>
    <row r="5" spans="1:10" s="33" customFormat="1" ht="24.95" customHeight="1">
      <c r="A5" s="41">
        <v>4</v>
      </c>
      <c r="B5" s="34" t="s">
        <v>12</v>
      </c>
      <c r="C5" s="44">
        <f>Cursos!N6</f>
        <v>0</v>
      </c>
      <c r="D5" s="44">
        <f>Litragem!N5</f>
        <v>0</v>
      </c>
      <c r="E5" s="45">
        <f t="shared" si="1"/>
        <v>0</v>
      </c>
      <c r="G5" s="33" t="s">
        <v>13</v>
      </c>
      <c r="H5" s="33">
        <f>Cursos!N8</f>
        <v>12</v>
      </c>
      <c r="I5" s="33">
        <f>Litragem!N7</f>
        <v>0</v>
      </c>
      <c r="J5" s="33">
        <f t="shared" si="0"/>
        <v>12</v>
      </c>
    </row>
    <row r="6" spans="1:10" s="33" customFormat="1" ht="24.95" customHeight="1">
      <c r="A6" s="41">
        <v>5</v>
      </c>
      <c r="B6" s="32" t="s">
        <v>14</v>
      </c>
      <c r="C6" s="46">
        <f>Cursos!N7</f>
        <v>0</v>
      </c>
      <c r="D6" s="46">
        <f>Litragem!N6</f>
        <v>0</v>
      </c>
      <c r="E6" s="47">
        <f t="shared" si="1"/>
        <v>0</v>
      </c>
      <c r="G6" s="33" t="s">
        <v>15</v>
      </c>
      <c r="H6" s="33">
        <f>Cursos!N9</f>
        <v>0</v>
      </c>
      <c r="I6" s="33">
        <f>Litragem!N8</f>
        <v>0</v>
      </c>
      <c r="J6" s="33">
        <f t="shared" si="0"/>
        <v>0</v>
      </c>
    </row>
    <row r="7" spans="1:10" s="33" customFormat="1" ht="24.95" customHeight="1">
      <c r="A7" s="41">
        <v>6</v>
      </c>
      <c r="B7" s="34" t="s">
        <v>16</v>
      </c>
      <c r="C7" s="44">
        <f>Cursos!N8</f>
        <v>12</v>
      </c>
      <c r="D7" s="44">
        <f>Litragem!N7</f>
        <v>0</v>
      </c>
      <c r="E7" s="45">
        <f t="shared" si="1"/>
        <v>12</v>
      </c>
    </row>
    <row r="8" spans="1:10" s="33" customFormat="1" ht="24.95" customHeight="1">
      <c r="A8" s="41">
        <v>7</v>
      </c>
      <c r="B8" s="32" t="s">
        <v>17</v>
      </c>
      <c r="C8" s="46">
        <f>Cursos!N9</f>
        <v>0</v>
      </c>
      <c r="D8" s="46">
        <f>Litragem!N8</f>
        <v>0</v>
      </c>
      <c r="E8" s="47">
        <f t="shared" si="1"/>
        <v>0</v>
      </c>
    </row>
    <row r="9" spans="1:10" s="33" customFormat="1" ht="24.95" customHeight="1">
      <c r="A9" s="41">
        <v>8</v>
      </c>
      <c r="B9" s="34" t="s">
        <v>18</v>
      </c>
      <c r="C9" s="44">
        <f>Cursos!N10</f>
        <v>12</v>
      </c>
      <c r="D9" s="44">
        <f>Litragem!N9</f>
        <v>0</v>
      </c>
      <c r="E9" s="45">
        <f t="shared" si="1"/>
        <v>12</v>
      </c>
    </row>
    <row r="10" spans="1:10" s="33" customFormat="1" ht="24.95" customHeight="1">
      <c r="A10" s="41">
        <v>9</v>
      </c>
      <c r="B10" s="32" t="s">
        <v>19</v>
      </c>
      <c r="C10" s="46">
        <f>Cursos!N11</f>
        <v>12</v>
      </c>
      <c r="D10" s="46">
        <f>Litragem!N10</f>
        <v>0</v>
      </c>
      <c r="E10" s="47">
        <f t="shared" si="1"/>
        <v>12</v>
      </c>
    </row>
    <row r="11" spans="1:10" s="33" customFormat="1" ht="24.95" customHeight="1">
      <c r="A11" s="41">
        <v>10</v>
      </c>
      <c r="B11" s="34" t="s">
        <v>20</v>
      </c>
      <c r="C11" s="44">
        <f>Cursos!N12</f>
        <v>0</v>
      </c>
      <c r="D11" s="44">
        <f>Litragem!N11</f>
        <v>0</v>
      </c>
      <c r="E11" s="45">
        <f t="shared" si="1"/>
        <v>0</v>
      </c>
    </row>
    <row r="12" spans="1:10" s="33" customFormat="1" ht="24.95" customHeight="1">
      <c r="A12" s="41">
        <v>11</v>
      </c>
      <c r="B12" s="32" t="s">
        <v>21</v>
      </c>
      <c r="C12" s="46">
        <f>Cursos!N13</f>
        <v>0</v>
      </c>
      <c r="D12" s="46">
        <f>Litragem!N12</f>
        <v>0</v>
      </c>
      <c r="E12" s="47">
        <f t="shared" si="1"/>
        <v>0</v>
      </c>
    </row>
    <row r="13" spans="1:10" s="33" customFormat="1" ht="24.95" customHeight="1">
      <c r="A13" s="41">
        <v>12</v>
      </c>
      <c r="B13" s="34" t="s">
        <v>22</v>
      </c>
      <c r="C13" s="44">
        <f>Cursos!N14</f>
        <v>0</v>
      </c>
      <c r="D13" s="44">
        <f>Litragem!N13</f>
        <v>0</v>
      </c>
      <c r="E13" s="45">
        <f t="shared" si="1"/>
        <v>0</v>
      </c>
    </row>
    <row r="14" spans="1:10" s="33" customFormat="1" ht="24.95" customHeight="1">
      <c r="A14" s="41">
        <v>13</v>
      </c>
      <c r="B14" s="32" t="s">
        <v>23</v>
      </c>
      <c r="C14" s="46">
        <f>Cursos!N15</f>
        <v>0</v>
      </c>
      <c r="D14" s="46">
        <f>Litragem!N14</f>
        <v>0</v>
      </c>
      <c r="E14" s="47">
        <f t="shared" si="1"/>
        <v>0</v>
      </c>
    </row>
    <row r="15" spans="1:10" s="33" customFormat="1" ht="24.95" customHeight="1">
      <c r="A15" s="41">
        <v>14</v>
      </c>
      <c r="B15" s="34" t="s">
        <v>24</v>
      </c>
      <c r="C15" s="44">
        <f>Cursos!N16</f>
        <v>0</v>
      </c>
      <c r="D15" s="44">
        <f>Litragem!N15</f>
        <v>0</v>
      </c>
      <c r="E15" s="45">
        <f t="shared" si="1"/>
        <v>0</v>
      </c>
    </row>
    <row r="16" spans="1:10" s="33" customFormat="1" ht="24.95" customHeight="1">
      <c r="A16" s="41">
        <v>15</v>
      </c>
      <c r="B16" s="32" t="s">
        <v>25</v>
      </c>
      <c r="C16" s="46">
        <f>Cursos!N17</f>
        <v>0</v>
      </c>
      <c r="D16" s="46">
        <f>Litragem!N16</f>
        <v>0</v>
      </c>
      <c r="E16" s="47">
        <f t="shared" si="1"/>
        <v>0</v>
      </c>
    </row>
    <row r="17" spans="1:5" s="33" customFormat="1" ht="24.95" customHeight="1">
      <c r="A17" s="41">
        <v>16</v>
      </c>
      <c r="B17" s="34" t="s">
        <v>26</v>
      </c>
      <c r="C17" s="44">
        <f>Cursos!N18</f>
        <v>0</v>
      </c>
      <c r="D17" s="44">
        <f>Litragem!N17</f>
        <v>0</v>
      </c>
      <c r="E17" s="45">
        <f t="shared" si="1"/>
        <v>0</v>
      </c>
    </row>
    <row r="18" spans="1:5" s="33" customFormat="1" ht="24.95" customHeight="1">
      <c r="A18" s="41">
        <v>17</v>
      </c>
      <c r="B18" s="32" t="s">
        <v>27</v>
      </c>
      <c r="C18" s="46">
        <f>Cursos!N19</f>
        <v>0</v>
      </c>
      <c r="D18" s="46">
        <f>Litragem!N18</f>
        <v>0</v>
      </c>
      <c r="E18" s="47">
        <f t="shared" si="1"/>
        <v>0</v>
      </c>
    </row>
    <row r="19" spans="1:5" s="33" customFormat="1" ht="24.95" customHeight="1">
      <c r="A19" s="41">
        <v>18</v>
      </c>
      <c r="B19" s="34" t="s">
        <v>28</v>
      </c>
      <c r="C19" s="44">
        <f>Cursos!N21</f>
        <v>0</v>
      </c>
      <c r="D19" s="44">
        <f>Litragem!N20</f>
        <v>0</v>
      </c>
      <c r="E19" s="45">
        <f t="shared" si="1"/>
        <v>0</v>
      </c>
    </row>
    <row r="20" spans="1:5" s="33" customFormat="1" ht="24.95" customHeight="1">
      <c r="A20" s="41">
        <v>19</v>
      </c>
      <c r="B20" s="32" t="s">
        <v>29</v>
      </c>
      <c r="C20" s="46">
        <f>Cursos!N22</f>
        <v>0</v>
      </c>
      <c r="D20" s="46">
        <f>Litragem!N21</f>
        <v>0</v>
      </c>
      <c r="E20" s="47">
        <f t="shared" si="1"/>
        <v>0</v>
      </c>
    </row>
    <row r="22" spans="1:5">
      <c r="B22" s="76"/>
      <c r="C22" s="76"/>
      <c r="D22" s="76"/>
      <c r="E22" s="76"/>
    </row>
    <row r="23" spans="1:5" ht="30" customHeight="1">
      <c r="A23" s="26" t="s">
        <v>30</v>
      </c>
      <c r="B23" s="27" t="s">
        <v>1</v>
      </c>
      <c r="C23" s="28" t="s">
        <v>2</v>
      </c>
      <c r="D23" s="27" t="s">
        <v>3</v>
      </c>
      <c r="E23" s="30" t="s">
        <v>4</v>
      </c>
    </row>
    <row r="24" spans="1:5" s="33" customFormat="1" ht="24.95" customHeight="1">
      <c r="A24" s="41">
        <v>1</v>
      </c>
      <c r="B24" s="32" t="s">
        <v>31</v>
      </c>
      <c r="C24" s="46">
        <f>Cursos!N23</f>
        <v>12</v>
      </c>
      <c r="D24" s="46">
        <f>Litragem!N22</f>
        <v>0</v>
      </c>
      <c r="E24" s="47">
        <f>SUM(C24+D24)</f>
        <v>12</v>
      </c>
    </row>
    <row r="25" spans="1:5" s="33" customFormat="1" ht="24.95" customHeight="1">
      <c r="A25" s="41">
        <v>2</v>
      </c>
      <c r="B25" s="34" t="s">
        <v>32</v>
      </c>
      <c r="C25" s="44">
        <f>Cursos!N24</f>
        <v>0</v>
      </c>
      <c r="D25" s="44">
        <f>Litragem!N23</f>
        <v>0</v>
      </c>
      <c r="E25" s="45">
        <f t="shared" ref="E25:E41" si="2">SUM(C25+D25)</f>
        <v>0</v>
      </c>
    </row>
    <row r="26" spans="1:5" s="33" customFormat="1" ht="24.95" customHeight="1">
      <c r="A26" s="41">
        <v>3</v>
      </c>
      <c r="B26" s="32" t="s">
        <v>33</v>
      </c>
      <c r="C26" s="46">
        <f>Cursos!N25</f>
        <v>0</v>
      </c>
      <c r="D26" s="46">
        <f>Litragem!N24</f>
        <v>0</v>
      </c>
      <c r="E26" s="47">
        <f t="shared" si="2"/>
        <v>0</v>
      </c>
    </row>
    <row r="27" spans="1:5" s="33" customFormat="1" ht="24.95" customHeight="1">
      <c r="A27" s="41">
        <v>4</v>
      </c>
      <c r="B27" s="34" t="s">
        <v>34</v>
      </c>
      <c r="C27" s="44">
        <f>Cursos!N26</f>
        <v>0</v>
      </c>
      <c r="D27" s="44">
        <f>Litragem!N25</f>
        <v>0</v>
      </c>
      <c r="E27" s="45">
        <f t="shared" si="2"/>
        <v>0</v>
      </c>
    </row>
    <row r="28" spans="1:5" s="33" customFormat="1" ht="24.95" customHeight="1">
      <c r="A28" s="41">
        <v>5</v>
      </c>
      <c r="B28" s="32" t="s">
        <v>35</v>
      </c>
      <c r="C28" s="46">
        <f>Cursos!N27</f>
        <v>0</v>
      </c>
      <c r="D28" s="46">
        <f>Litragem!N26</f>
        <v>0</v>
      </c>
      <c r="E28" s="47">
        <f t="shared" si="2"/>
        <v>0</v>
      </c>
    </row>
    <row r="29" spans="1:5" s="33" customFormat="1" ht="24.95" customHeight="1">
      <c r="A29" s="41">
        <v>6</v>
      </c>
      <c r="B29" s="34" t="s">
        <v>36</v>
      </c>
      <c r="C29" s="44">
        <f>Cursos!N28</f>
        <v>12</v>
      </c>
      <c r="D29" s="44">
        <f>Litragem!N27</f>
        <v>0</v>
      </c>
      <c r="E29" s="45">
        <f t="shared" si="2"/>
        <v>12</v>
      </c>
    </row>
    <row r="30" spans="1:5" s="33" customFormat="1" ht="24.95" customHeight="1">
      <c r="A30" s="41">
        <v>7</v>
      </c>
      <c r="B30" s="32" t="s">
        <v>37</v>
      </c>
      <c r="C30" s="46">
        <f>Cursos!N29</f>
        <v>12</v>
      </c>
      <c r="D30" s="46">
        <f>Litragem!N28</f>
        <v>0</v>
      </c>
      <c r="E30" s="47">
        <f t="shared" si="2"/>
        <v>12</v>
      </c>
    </row>
    <row r="31" spans="1:5" s="33" customFormat="1" ht="24.95" customHeight="1">
      <c r="A31" s="41">
        <v>8</v>
      </c>
      <c r="B31" s="34" t="s">
        <v>38</v>
      </c>
      <c r="C31" s="44">
        <f>Cursos!N30</f>
        <v>24</v>
      </c>
      <c r="D31" s="44">
        <f>Litragem!N29</f>
        <v>0</v>
      </c>
      <c r="E31" s="45">
        <f t="shared" si="2"/>
        <v>24</v>
      </c>
    </row>
    <row r="32" spans="1:5" s="33" customFormat="1" ht="24.95" customHeight="1">
      <c r="A32" s="41">
        <v>9</v>
      </c>
      <c r="B32" s="32" t="s">
        <v>39</v>
      </c>
      <c r="C32" s="46">
        <f>Cursos!N31</f>
        <v>0</v>
      </c>
      <c r="D32" s="46">
        <f>Litragem!N30</f>
        <v>0</v>
      </c>
      <c r="E32" s="47">
        <f t="shared" si="2"/>
        <v>0</v>
      </c>
    </row>
    <row r="33" spans="1:5" s="33" customFormat="1" ht="24.95" customHeight="1">
      <c r="A33" s="41">
        <v>10</v>
      </c>
      <c r="B33" s="34" t="s">
        <v>40</v>
      </c>
      <c r="C33" s="44">
        <f>Cursos!N32</f>
        <v>24</v>
      </c>
      <c r="D33" s="44">
        <f>Litragem!N31</f>
        <v>0</v>
      </c>
      <c r="E33" s="45">
        <f t="shared" si="2"/>
        <v>24</v>
      </c>
    </row>
    <row r="34" spans="1:5" s="33" customFormat="1" ht="24.95" customHeight="1">
      <c r="A34" s="41">
        <v>11</v>
      </c>
      <c r="B34" s="32" t="s">
        <v>41</v>
      </c>
      <c r="C34" s="46">
        <f>Cursos!N33</f>
        <v>12</v>
      </c>
      <c r="D34" s="46">
        <f>Litragem!N32</f>
        <v>0</v>
      </c>
      <c r="E34" s="47">
        <f t="shared" si="2"/>
        <v>12</v>
      </c>
    </row>
    <row r="35" spans="1:5" s="33" customFormat="1" ht="24.95" customHeight="1">
      <c r="A35" s="41">
        <v>12</v>
      </c>
      <c r="B35" s="34" t="s">
        <v>42</v>
      </c>
      <c r="C35" s="44">
        <f>Cursos!N34</f>
        <v>24</v>
      </c>
      <c r="D35" s="44">
        <f>Litragem!N33</f>
        <v>0</v>
      </c>
      <c r="E35" s="45">
        <f t="shared" si="2"/>
        <v>24</v>
      </c>
    </row>
    <row r="36" spans="1:5" s="33" customFormat="1" ht="24.95" customHeight="1">
      <c r="A36" s="41">
        <v>13</v>
      </c>
      <c r="B36" s="32" t="s">
        <v>43</v>
      </c>
      <c r="C36" s="46">
        <f>Cursos!N35</f>
        <v>0</v>
      </c>
      <c r="D36" s="46">
        <f>Litragem!N34</f>
        <v>0</v>
      </c>
      <c r="E36" s="47">
        <f t="shared" si="2"/>
        <v>0</v>
      </c>
    </row>
    <row r="37" spans="1:5" s="33" customFormat="1" ht="24.95" customHeight="1">
      <c r="A37" s="41">
        <v>14</v>
      </c>
      <c r="B37" s="34" t="s">
        <v>44</v>
      </c>
      <c r="C37" s="44">
        <f>Cursos!N36</f>
        <v>0</v>
      </c>
      <c r="D37" s="44">
        <f>Litragem!N35</f>
        <v>0</v>
      </c>
      <c r="E37" s="45">
        <f t="shared" si="2"/>
        <v>0</v>
      </c>
    </row>
    <row r="38" spans="1:5" s="33" customFormat="1" ht="24.95" customHeight="1">
      <c r="A38" s="41">
        <v>15</v>
      </c>
      <c r="B38" s="32" t="s">
        <v>45</v>
      </c>
      <c r="C38" s="46">
        <f>Cursos!N37</f>
        <v>0</v>
      </c>
      <c r="D38" s="46">
        <f>Litragem!N36</f>
        <v>0</v>
      </c>
      <c r="E38" s="47">
        <f t="shared" si="2"/>
        <v>0</v>
      </c>
    </row>
    <row r="39" spans="1:5" s="33" customFormat="1" ht="24.95" customHeight="1">
      <c r="A39" s="41">
        <v>16</v>
      </c>
      <c r="B39" s="34" t="s">
        <v>46</v>
      </c>
      <c r="C39" s="44">
        <f>Cursos!N38</f>
        <v>12</v>
      </c>
      <c r="D39" s="44">
        <f>Litragem!N37</f>
        <v>0</v>
      </c>
      <c r="E39" s="45">
        <f t="shared" si="2"/>
        <v>12</v>
      </c>
    </row>
    <row r="40" spans="1:5" s="33" customFormat="1" ht="24.95" customHeight="1">
      <c r="A40" s="41">
        <v>17</v>
      </c>
      <c r="B40" s="32" t="s">
        <v>47</v>
      </c>
      <c r="C40" s="46">
        <f>Cursos!N39</f>
        <v>0</v>
      </c>
      <c r="D40" s="46">
        <f>Litragem!N38</f>
        <v>0</v>
      </c>
      <c r="E40" s="47">
        <f t="shared" si="2"/>
        <v>0</v>
      </c>
    </row>
    <row r="41" spans="1:5" s="33" customFormat="1" ht="24.95" customHeight="1">
      <c r="A41" s="41">
        <v>18</v>
      </c>
      <c r="B41" s="34" t="s">
        <v>48</v>
      </c>
      <c r="C41" s="44">
        <f>Cursos!N40</f>
        <v>0</v>
      </c>
      <c r="D41" s="44">
        <f>Litragem!N39</f>
        <v>0</v>
      </c>
      <c r="E41" s="45">
        <f t="shared" si="2"/>
        <v>0</v>
      </c>
    </row>
    <row r="42" spans="1:5">
      <c r="A42" s="36"/>
    </row>
    <row r="43" spans="1:5">
      <c r="B43" s="76"/>
      <c r="C43" s="76"/>
      <c r="D43" s="76"/>
      <c r="E43" s="76"/>
    </row>
    <row r="44" spans="1:5" ht="30" customHeight="1">
      <c r="A44" s="26" t="s">
        <v>49</v>
      </c>
      <c r="B44" s="37" t="s">
        <v>1</v>
      </c>
      <c r="C44" s="28" t="s">
        <v>2</v>
      </c>
      <c r="D44" s="38" t="s">
        <v>3</v>
      </c>
      <c r="E44" s="39" t="s">
        <v>4</v>
      </c>
    </row>
    <row r="45" spans="1:5" s="33" customFormat="1" ht="24.95" customHeight="1">
      <c r="A45" s="41">
        <v>1</v>
      </c>
      <c r="B45" s="32" t="s">
        <v>50</v>
      </c>
      <c r="C45" s="46">
        <f>Cursos!N41</f>
        <v>0</v>
      </c>
      <c r="D45" s="46">
        <f>Litragem!N40</f>
        <v>0</v>
      </c>
      <c r="E45" s="47">
        <f>SUM(C45+D45)</f>
        <v>0</v>
      </c>
    </row>
    <row r="46" spans="1:5" s="33" customFormat="1" ht="24.95" customHeight="1">
      <c r="A46" s="41">
        <v>2</v>
      </c>
      <c r="B46" s="34" t="s">
        <v>51</v>
      </c>
      <c r="C46" s="44">
        <f>Cursos!N42</f>
        <v>0</v>
      </c>
      <c r="D46" s="44">
        <f>Litragem!N41</f>
        <v>0</v>
      </c>
      <c r="E46" s="45">
        <f t="shared" ref="E46:E72" si="3">SUM(C46+D46)</f>
        <v>0</v>
      </c>
    </row>
    <row r="47" spans="1:5" s="33" customFormat="1" ht="24.95" customHeight="1">
      <c r="A47" s="41">
        <v>3</v>
      </c>
      <c r="B47" s="32" t="s">
        <v>52</v>
      </c>
      <c r="C47" s="46">
        <f>Cursos!N43</f>
        <v>12</v>
      </c>
      <c r="D47" s="46">
        <f>Litragem!N42</f>
        <v>0</v>
      </c>
      <c r="E47" s="47">
        <f t="shared" si="3"/>
        <v>12</v>
      </c>
    </row>
    <row r="48" spans="1:5" s="33" customFormat="1" ht="24.95" customHeight="1">
      <c r="A48" s="41">
        <v>4</v>
      </c>
      <c r="B48" s="34" t="s">
        <v>53</v>
      </c>
      <c r="C48" s="44">
        <f>Cursos!N44</f>
        <v>24</v>
      </c>
      <c r="D48" s="44">
        <f>Litragem!N43</f>
        <v>0</v>
      </c>
      <c r="E48" s="45">
        <f t="shared" si="3"/>
        <v>24</v>
      </c>
    </row>
    <row r="49" spans="1:5" s="33" customFormat="1" ht="24.95" customHeight="1">
      <c r="A49" s="41">
        <v>5</v>
      </c>
      <c r="B49" s="32" t="s">
        <v>54</v>
      </c>
      <c r="C49" s="46">
        <f>Cursos!N45</f>
        <v>0</v>
      </c>
      <c r="D49" s="46">
        <f>Litragem!N44</f>
        <v>0</v>
      </c>
      <c r="E49" s="47">
        <f t="shared" si="3"/>
        <v>0</v>
      </c>
    </row>
    <row r="50" spans="1:5" s="33" customFormat="1" ht="24.95" customHeight="1">
      <c r="A50" s="41">
        <v>6</v>
      </c>
      <c r="B50" s="34" t="s">
        <v>55</v>
      </c>
      <c r="C50" s="44">
        <f>Cursos!N46</f>
        <v>0</v>
      </c>
      <c r="D50" s="44">
        <f>Litragem!N45</f>
        <v>0</v>
      </c>
      <c r="E50" s="45">
        <f t="shared" si="3"/>
        <v>0</v>
      </c>
    </row>
    <row r="51" spans="1:5" s="33" customFormat="1" ht="24.95" customHeight="1">
      <c r="A51" s="41">
        <v>7</v>
      </c>
      <c r="B51" s="32" t="s">
        <v>56</v>
      </c>
      <c r="C51" s="46">
        <f>Cursos!N47</f>
        <v>24</v>
      </c>
      <c r="D51" s="46">
        <f>Litragem!N46</f>
        <v>0</v>
      </c>
      <c r="E51" s="47">
        <f t="shared" si="3"/>
        <v>24</v>
      </c>
    </row>
    <row r="52" spans="1:5" s="33" customFormat="1" ht="24.95" customHeight="1">
      <c r="A52" s="41">
        <v>8</v>
      </c>
      <c r="B52" s="34" t="s">
        <v>57</v>
      </c>
      <c r="C52" s="44">
        <f>Cursos!N48</f>
        <v>12</v>
      </c>
      <c r="D52" s="44">
        <f>Litragem!N47</f>
        <v>0</v>
      </c>
      <c r="E52" s="45">
        <f t="shared" si="3"/>
        <v>12</v>
      </c>
    </row>
    <row r="53" spans="1:5" s="33" customFormat="1" ht="24.95" customHeight="1">
      <c r="A53" s="41">
        <v>9</v>
      </c>
      <c r="B53" s="32" t="s">
        <v>58</v>
      </c>
      <c r="C53" s="46">
        <f>Cursos!N49</f>
        <v>24</v>
      </c>
      <c r="D53" s="46">
        <f>Litragem!N48</f>
        <v>0</v>
      </c>
      <c r="E53" s="47">
        <f t="shared" si="3"/>
        <v>24</v>
      </c>
    </row>
    <row r="54" spans="1:5" s="33" customFormat="1" ht="24.95" customHeight="1">
      <c r="A54" s="41">
        <v>10</v>
      </c>
      <c r="B54" s="34" t="s">
        <v>59</v>
      </c>
      <c r="C54" s="44">
        <f>Cursos!N50</f>
        <v>0</v>
      </c>
      <c r="D54" s="44">
        <f>Litragem!N49</f>
        <v>0</v>
      </c>
      <c r="E54" s="45">
        <f t="shared" si="3"/>
        <v>0</v>
      </c>
    </row>
    <row r="55" spans="1:5" s="33" customFormat="1" ht="24.95" customHeight="1">
      <c r="A55" s="41">
        <v>11</v>
      </c>
      <c r="B55" s="32" t="s">
        <v>60</v>
      </c>
      <c r="C55" s="46">
        <f>Cursos!N51</f>
        <v>0</v>
      </c>
      <c r="D55" s="46">
        <f>Litragem!N50</f>
        <v>0</v>
      </c>
      <c r="E55" s="47">
        <f t="shared" si="3"/>
        <v>0</v>
      </c>
    </row>
    <row r="56" spans="1:5" s="33" customFormat="1" ht="24.95" customHeight="1">
      <c r="A56" s="41">
        <v>12</v>
      </c>
      <c r="B56" s="34" t="s">
        <v>61</v>
      </c>
      <c r="C56" s="44">
        <f>Cursos!N52</f>
        <v>0</v>
      </c>
      <c r="D56" s="44">
        <f>Litragem!N51</f>
        <v>0</v>
      </c>
      <c r="E56" s="45">
        <f t="shared" si="3"/>
        <v>0</v>
      </c>
    </row>
    <row r="57" spans="1:5" s="33" customFormat="1" ht="24.95" customHeight="1">
      <c r="A57" s="41">
        <v>13</v>
      </c>
      <c r="B57" s="32" t="s">
        <v>62</v>
      </c>
      <c r="C57" s="46">
        <f>Cursos!N53</f>
        <v>0</v>
      </c>
      <c r="D57" s="46">
        <f>Litragem!N52</f>
        <v>0</v>
      </c>
      <c r="E57" s="47">
        <f t="shared" si="3"/>
        <v>0</v>
      </c>
    </row>
    <row r="58" spans="1:5" s="33" customFormat="1" ht="24.95" customHeight="1">
      <c r="A58" s="41">
        <v>14</v>
      </c>
      <c r="B58" s="34" t="s">
        <v>63</v>
      </c>
      <c r="C58" s="44">
        <f>Cursos!N54</f>
        <v>12</v>
      </c>
      <c r="D58" s="44">
        <f>Litragem!N53</f>
        <v>0</v>
      </c>
      <c r="E58" s="45">
        <f t="shared" si="3"/>
        <v>12</v>
      </c>
    </row>
    <row r="59" spans="1:5" s="33" customFormat="1" ht="24.95" customHeight="1">
      <c r="A59" s="41">
        <v>15</v>
      </c>
      <c r="B59" s="32" t="s">
        <v>64</v>
      </c>
      <c r="C59" s="46">
        <f>Cursos!N55</f>
        <v>0</v>
      </c>
      <c r="D59" s="46">
        <f>Litragem!N54</f>
        <v>0</v>
      </c>
      <c r="E59" s="47">
        <f t="shared" si="3"/>
        <v>0</v>
      </c>
    </row>
    <row r="60" spans="1:5" s="33" customFormat="1" ht="24.95" customHeight="1">
      <c r="A60" s="41">
        <v>16</v>
      </c>
      <c r="B60" s="34" t="s">
        <v>65</v>
      </c>
      <c r="C60" s="44">
        <f>Cursos!N56</f>
        <v>0</v>
      </c>
      <c r="D60" s="44">
        <f>Litragem!N55</f>
        <v>0</v>
      </c>
      <c r="E60" s="45">
        <f t="shared" si="3"/>
        <v>0</v>
      </c>
    </row>
    <row r="61" spans="1:5" s="33" customFormat="1" ht="24.95" customHeight="1">
      <c r="A61" s="41">
        <v>17</v>
      </c>
      <c r="B61" s="32" t="s">
        <v>66</v>
      </c>
      <c r="C61" s="46">
        <f>Cursos!N57</f>
        <v>0</v>
      </c>
      <c r="D61" s="46">
        <f>Litragem!N56</f>
        <v>0</v>
      </c>
      <c r="E61" s="47">
        <f t="shared" si="3"/>
        <v>0</v>
      </c>
    </row>
    <row r="62" spans="1:5" s="33" customFormat="1" ht="24.95" customHeight="1">
      <c r="A62" s="41">
        <v>18</v>
      </c>
      <c r="B62" s="34" t="s">
        <v>67</v>
      </c>
      <c r="C62" s="44">
        <f>Cursos!N58</f>
        <v>0</v>
      </c>
      <c r="D62" s="44">
        <f>Litragem!N57</f>
        <v>0</v>
      </c>
      <c r="E62" s="45">
        <f t="shared" si="3"/>
        <v>0</v>
      </c>
    </row>
    <row r="63" spans="1:5" s="33" customFormat="1" ht="24.95" customHeight="1">
      <c r="A63" s="41">
        <v>19</v>
      </c>
      <c r="B63" s="32" t="s">
        <v>68</v>
      </c>
      <c r="C63" s="46">
        <f>Cursos!N59</f>
        <v>0</v>
      </c>
      <c r="D63" s="46">
        <f>Litragem!N58</f>
        <v>0</v>
      </c>
      <c r="E63" s="47">
        <f t="shared" si="3"/>
        <v>0</v>
      </c>
    </row>
    <row r="64" spans="1:5" s="33" customFormat="1" ht="24.95" customHeight="1">
      <c r="A64" s="41">
        <v>20</v>
      </c>
      <c r="B64" s="34" t="s">
        <v>69</v>
      </c>
      <c r="C64" s="44">
        <f>Cursos!N60</f>
        <v>12</v>
      </c>
      <c r="D64" s="44">
        <f>Litragem!N59</f>
        <v>0</v>
      </c>
      <c r="E64" s="45">
        <f t="shared" si="3"/>
        <v>12</v>
      </c>
    </row>
    <row r="65" spans="1:5" s="33" customFormat="1" ht="24.95" customHeight="1">
      <c r="A65" s="41">
        <v>21</v>
      </c>
      <c r="B65" s="40" t="s">
        <v>70</v>
      </c>
      <c r="C65" s="46">
        <f>Cursos!N61</f>
        <v>12</v>
      </c>
      <c r="D65" s="46">
        <f>Litragem!N60</f>
        <v>0</v>
      </c>
      <c r="E65" s="47">
        <f t="shared" si="3"/>
        <v>12</v>
      </c>
    </row>
    <row r="66" spans="1:5" s="33" customFormat="1" ht="24.95" customHeight="1">
      <c r="A66" s="41">
        <v>22</v>
      </c>
      <c r="B66" s="34" t="s">
        <v>71</v>
      </c>
      <c r="C66" s="44">
        <f>Cursos!N62</f>
        <v>0</v>
      </c>
      <c r="D66" s="44">
        <f>Litragem!N61</f>
        <v>0</v>
      </c>
      <c r="E66" s="45">
        <f t="shared" si="3"/>
        <v>0</v>
      </c>
    </row>
    <row r="67" spans="1:5" s="33" customFormat="1" ht="24.95" customHeight="1">
      <c r="A67" s="41">
        <v>23</v>
      </c>
      <c r="B67" s="40" t="s">
        <v>72</v>
      </c>
      <c r="C67" s="46">
        <f>Cursos!N63</f>
        <v>0</v>
      </c>
      <c r="D67" s="46">
        <f>Litragem!N62</f>
        <v>0</v>
      </c>
      <c r="E67" s="47">
        <f t="shared" si="3"/>
        <v>0</v>
      </c>
    </row>
    <row r="68" spans="1:5" s="33" customFormat="1" ht="24.95" customHeight="1">
      <c r="A68" s="41">
        <v>24</v>
      </c>
      <c r="B68" s="34" t="s">
        <v>73</v>
      </c>
      <c r="C68" s="44">
        <f>Cursos!N64</f>
        <v>0</v>
      </c>
      <c r="D68" s="44">
        <f>Litragem!N63</f>
        <v>0</v>
      </c>
      <c r="E68" s="45">
        <f t="shared" si="3"/>
        <v>0</v>
      </c>
    </row>
    <row r="69" spans="1:5" s="33" customFormat="1" ht="24.95" customHeight="1">
      <c r="A69" s="41">
        <v>25</v>
      </c>
      <c r="B69" s="40" t="s">
        <v>74</v>
      </c>
      <c r="C69" s="46">
        <f>Cursos!N65</f>
        <v>0</v>
      </c>
      <c r="D69" s="46">
        <f>Litragem!N64</f>
        <v>0</v>
      </c>
      <c r="E69" s="47">
        <f t="shared" si="3"/>
        <v>0</v>
      </c>
    </row>
    <row r="70" spans="1:5" s="33" customFormat="1" ht="24.95" customHeight="1">
      <c r="A70" s="41">
        <v>26</v>
      </c>
      <c r="B70" s="34" t="s">
        <v>75</v>
      </c>
      <c r="C70" s="44">
        <f>Cursos!N66</f>
        <v>0</v>
      </c>
      <c r="D70" s="44">
        <f>Litragem!N65</f>
        <v>0</v>
      </c>
      <c r="E70" s="45">
        <f t="shared" si="3"/>
        <v>0</v>
      </c>
    </row>
    <row r="71" spans="1:5" s="33" customFormat="1" ht="24.95" customHeight="1">
      <c r="A71" s="41">
        <v>27</v>
      </c>
      <c r="B71" s="40" t="s">
        <v>76</v>
      </c>
      <c r="C71" s="46">
        <f>Cursos!N67</f>
        <v>0</v>
      </c>
      <c r="D71" s="46">
        <f>Litragem!N66</f>
        <v>0</v>
      </c>
      <c r="E71" s="47">
        <f t="shared" si="3"/>
        <v>0</v>
      </c>
    </row>
    <row r="72" spans="1:5" s="33" customFormat="1" ht="24.95" customHeight="1">
      <c r="A72" s="41">
        <v>28</v>
      </c>
      <c r="B72" s="34" t="s">
        <v>77</v>
      </c>
      <c r="C72" s="44">
        <f>Cursos!N68</f>
        <v>0</v>
      </c>
      <c r="D72" s="44">
        <f>Litragem!N67</f>
        <v>0</v>
      </c>
      <c r="E72" s="45">
        <f t="shared" si="3"/>
        <v>0</v>
      </c>
    </row>
    <row r="74" spans="1:5">
      <c r="B74" s="76"/>
      <c r="C74" s="76"/>
      <c r="D74" s="76"/>
      <c r="E74" s="76"/>
    </row>
    <row r="75" spans="1:5" ht="30" customHeight="1">
      <c r="A75" s="26" t="s">
        <v>78</v>
      </c>
      <c r="B75" s="37" t="s">
        <v>1</v>
      </c>
      <c r="C75" s="28" t="s">
        <v>2</v>
      </c>
      <c r="D75" s="38" t="s">
        <v>3</v>
      </c>
      <c r="E75" s="39" t="s">
        <v>4</v>
      </c>
    </row>
    <row r="76" spans="1:5" s="33" customFormat="1" ht="24.95" customHeight="1">
      <c r="A76" s="41">
        <v>1</v>
      </c>
      <c r="B76" s="40" t="s">
        <v>79</v>
      </c>
      <c r="C76" s="46">
        <f>Cursos!N69</f>
        <v>0</v>
      </c>
      <c r="D76" s="46">
        <f>Litragem!N68</f>
        <v>0</v>
      </c>
      <c r="E76" s="47">
        <f>SUM(C76+D76)</f>
        <v>0</v>
      </c>
    </row>
    <row r="77" spans="1:5" s="33" customFormat="1" ht="24.95" customHeight="1">
      <c r="A77" s="41">
        <v>2</v>
      </c>
      <c r="B77" s="34" t="s">
        <v>80</v>
      </c>
      <c r="C77" s="44">
        <f>Cursos!N70</f>
        <v>0</v>
      </c>
      <c r="D77" s="44">
        <f>Litragem!N69</f>
        <v>0</v>
      </c>
      <c r="E77" s="45">
        <f t="shared" ref="E77:E82" si="4">SUM(C77+D77)</f>
        <v>0</v>
      </c>
    </row>
    <row r="78" spans="1:5" s="33" customFormat="1" ht="24.95" customHeight="1">
      <c r="A78" s="41">
        <v>3</v>
      </c>
      <c r="B78" s="40" t="s">
        <v>81</v>
      </c>
      <c r="C78" s="46">
        <f>Cursos!N71</f>
        <v>0</v>
      </c>
      <c r="D78" s="46">
        <f>Litragem!N70</f>
        <v>0</v>
      </c>
      <c r="E78" s="47">
        <f t="shared" si="4"/>
        <v>0</v>
      </c>
    </row>
    <row r="79" spans="1:5" s="33" customFormat="1" ht="24.95" customHeight="1">
      <c r="A79" s="41">
        <v>4</v>
      </c>
      <c r="B79" s="34" t="s">
        <v>82</v>
      </c>
      <c r="C79" s="44">
        <f>Cursos!N72</f>
        <v>24</v>
      </c>
      <c r="D79" s="44">
        <f>Litragem!N71</f>
        <v>0</v>
      </c>
      <c r="E79" s="45">
        <f t="shared" si="4"/>
        <v>24</v>
      </c>
    </row>
    <row r="80" spans="1:5" s="33" customFormat="1" ht="24.95" customHeight="1">
      <c r="A80" s="41">
        <v>5</v>
      </c>
      <c r="B80" s="40" t="s">
        <v>83</v>
      </c>
      <c r="C80" s="46">
        <f>Cursos!N73</f>
        <v>24</v>
      </c>
      <c r="D80" s="46">
        <f>Litragem!N72</f>
        <v>0</v>
      </c>
      <c r="E80" s="47">
        <f t="shared" si="4"/>
        <v>24</v>
      </c>
    </row>
    <row r="81" spans="1:5" s="33" customFormat="1" ht="24.95" customHeight="1">
      <c r="A81" s="41">
        <v>6</v>
      </c>
      <c r="B81" s="34" t="s">
        <v>84</v>
      </c>
      <c r="C81" s="44">
        <f>Cursos!N74</f>
        <v>0</v>
      </c>
      <c r="D81" s="44">
        <f>Litragem!N73</f>
        <v>0</v>
      </c>
      <c r="E81" s="45">
        <f t="shared" si="4"/>
        <v>0</v>
      </c>
    </row>
    <row r="82" spans="1:5" s="33" customFormat="1" ht="24.95" customHeight="1">
      <c r="A82" s="41">
        <v>7</v>
      </c>
      <c r="B82" s="40" t="s">
        <v>85</v>
      </c>
      <c r="C82" s="46">
        <f>Cursos!N75</f>
        <v>0</v>
      </c>
      <c r="D82" s="46">
        <f>Litragem!N74</f>
        <v>0</v>
      </c>
      <c r="E82" s="47">
        <f t="shared" si="4"/>
        <v>0</v>
      </c>
    </row>
    <row r="83" spans="1:5">
      <c r="A83" s="36"/>
    </row>
    <row r="84" spans="1:5">
      <c r="A84" s="36"/>
      <c r="B84" s="76"/>
      <c r="C84" s="76"/>
      <c r="D84" s="76"/>
      <c r="E84" s="76"/>
    </row>
    <row r="85" spans="1:5" ht="30" customHeight="1">
      <c r="A85" s="26" t="s">
        <v>86</v>
      </c>
      <c r="B85" s="37" t="s">
        <v>1</v>
      </c>
      <c r="C85" s="28" t="s">
        <v>2</v>
      </c>
      <c r="D85" s="38" t="s">
        <v>3</v>
      </c>
      <c r="E85" s="39" t="s">
        <v>4</v>
      </c>
    </row>
    <row r="86" spans="1:5" s="33" customFormat="1" ht="24.95" customHeight="1">
      <c r="A86" s="41">
        <v>1</v>
      </c>
      <c r="B86" s="40" t="s">
        <v>87</v>
      </c>
      <c r="C86" s="46">
        <f>Cursos!N76</f>
        <v>0</v>
      </c>
      <c r="D86" s="46">
        <f>Litragem!N75</f>
        <v>0</v>
      </c>
      <c r="E86" s="47">
        <f>SUM(C86+D86)</f>
        <v>0</v>
      </c>
    </row>
    <row r="87" spans="1:5" s="33" customFormat="1" ht="24.95" customHeight="1">
      <c r="A87" s="41">
        <v>2</v>
      </c>
      <c r="B87" s="34" t="s">
        <v>88</v>
      </c>
      <c r="C87" s="44">
        <f>Cursos!N77</f>
        <v>12</v>
      </c>
      <c r="D87" s="44">
        <f>Litragem!N76</f>
        <v>0</v>
      </c>
      <c r="E87" s="45">
        <f t="shared" ref="E87:E94" si="5">SUM(C87+D87)</f>
        <v>12</v>
      </c>
    </row>
    <row r="88" spans="1:5" s="33" customFormat="1" ht="24.95" customHeight="1">
      <c r="A88" s="41">
        <v>3</v>
      </c>
      <c r="B88" s="40" t="s">
        <v>89</v>
      </c>
      <c r="C88" s="46">
        <f>Cursos!N78</f>
        <v>0</v>
      </c>
      <c r="D88" s="46">
        <f>Litragem!N77</f>
        <v>0</v>
      </c>
      <c r="E88" s="47">
        <f t="shared" si="5"/>
        <v>0</v>
      </c>
    </row>
    <row r="89" spans="1:5" s="33" customFormat="1" ht="24.95" customHeight="1">
      <c r="A89" s="41">
        <v>4</v>
      </c>
      <c r="B89" s="34" t="s">
        <v>90</v>
      </c>
      <c r="C89" s="44">
        <f>Cursos!N79</f>
        <v>0</v>
      </c>
      <c r="D89" s="44">
        <f>Litragem!N78</f>
        <v>0</v>
      </c>
      <c r="E89" s="45">
        <f t="shared" si="5"/>
        <v>0</v>
      </c>
    </row>
    <row r="90" spans="1:5" s="33" customFormat="1" ht="24.95" customHeight="1">
      <c r="A90" s="41">
        <v>5</v>
      </c>
      <c r="B90" s="40" t="s">
        <v>91</v>
      </c>
      <c r="C90" s="46">
        <f>Cursos!N80</f>
        <v>12</v>
      </c>
      <c r="D90" s="46">
        <f>Litragem!N79</f>
        <v>0</v>
      </c>
      <c r="E90" s="47">
        <f t="shared" si="5"/>
        <v>12</v>
      </c>
    </row>
    <row r="91" spans="1:5" s="33" customFormat="1" ht="24.95" customHeight="1">
      <c r="A91" s="41">
        <v>6</v>
      </c>
      <c r="B91" s="34" t="s">
        <v>92</v>
      </c>
      <c r="C91" s="44">
        <f>Cursos!N81</f>
        <v>0</v>
      </c>
      <c r="D91" s="44">
        <f>Litragem!N80</f>
        <v>0</v>
      </c>
      <c r="E91" s="45">
        <f t="shared" si="5"/>
        <v>0</v>
      </c>
    </row>
    <row r="92" spans="1:5" s="33" customFormat="1" ht="24.95" customHeight="1">
      <c r="A92" s="41">
        <v>7</v>
      </c>
      <c r="B92" s="40" t="s">
        <v>93</v>
      </c>
      <c r="C92" s="46">
        <f>Cursos!N82</f>
        <v>12</v>
      </c>
      <c r="D92" s="46">
        <f>Litragem!N81</f>
        <v>0</v>
      </c>
      <c r="E92" s="47">
        <f t="shared" si="5"/>
        <v>12</v>
      </c>
    </row>
    <row r="93" spans="1:5" s="33" customFormat="1" ht="24.95" customHeight="1">
      <c r="A93" s="41">
        <v>8</v>
      </c>
      <c r="B93" s="34" t="s">
        <v>94</v>
      </c>
      <c r="C93" s="44">
        <f>Cursos!N83</f>
        <v>24</v>
      </c>
      <c r="D93" s="44">
        <f>Litragem!N82</f>
        <v>0</v>
      </c>
      <c r="E93" s="45">
        <f t="shared" si="5"/>
        <v>24</v>
      </c>
    </row>
    <row r="94" spans="1:5" s="33" customFormat="1" ht="24.95" customHeight="1">
      <c r="A94" s="41">
        <v>9</v>
      </c>
      <c r="B94" s="40" t="s">
        <v>95</v>
      </c>
      <c r="C94" s="46">
        <f>Cursos!N84</f>
        <v>0</v>
      </c>
      <c r="D94" s="46">
        <f>Litragem!N83</f>
        <v>0</v>
      </c>
      <c r="E94" s="47">
        <f t="shared" si="5"/>
        <v>0</v>
      </c>
    </row>
  </sheetData>
  <sheetProtection sheet="1" objects="1" scenarios="1" sort="0" autoFilter="0"/>
  <sortState xmlns:xlrd2="http://schemas.microsoft.com/office/spreadsheetml/2017/richdata2" ref="A2:E20">
    <sortCondition descending="1" ref="E1:E20"/>
  </sortState>
  <mergeCells count="4">
    <mergeCell ref="B22:E22"/>
    <mergeCell ref="B43:E43"/>
    <mergeCell ref="B74:E74"/>
    <mergeCell ref="B84:E84"/>
  </mergeCells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N90"/>
  <sheetViews>
    <sheetView zoomScaleNormal="100" workbookViewId="0">
      <pane xSplit="1" ySplit="3" topLeftCell="B73" activePane="bottomRight" state="frozen"/>
      <selection pane="bottomRight" activeCell="D84" sqref="D84"/>
      <selection pane="bottomLeft" activeCell="A4" sqref="A4"/>
      <selection pane="topRight" activeCell="B1" sqref="B1"/>
    </sheetView>
  </sheetViews>
  <sheetFormatPr defaultColWidth="8.5703125" defaultRowHeight="17.45"/>
  <cols>
    <col min="1" max="1" width="91.5703125" style="4" bestFit="1" customWidth="1"/>
    <col min="2" max="13" width="10" style="4" customWidth="1"/>
    <col min="14" max="14" width="34.85546875" style="4" customWidth="1"/>
  </cols>
  <sheetData>
    <row r="1" spans="1:14" ht="24.95" customHeight="1">
      <c r="A1" s="55" t="s">
        <v>96</v>
      </c>
      <c r="B1" s="60" t="s">
        <v>97</v>
      </c>
      <c r="C1" s="77"/>
      <c r="D1" s="77"/>
      <c r="E1" s="77"/>
      <c r="F1" s="77"/>
      <c r="G1" s="77"/>
      <c r="H1" s="62" t="s">
        <v>98</v>
      </c>
      <c r="I1" s="78"/>
      <c r="J1" s="78"/>
      <c r="K1" s="78"/>
      <c r="L1" s="78"/>
      <c r="M1" s="78"/>
      <c r="N1" s="53" t="s">
        <v>99</v>
      </c>
    </row>
    <row r="2" spans="1:14" ht="24.95" customHeight="1">
      <c r="A2" s="55"/>
      <c r="B2" s="58" t="s">
        <v>100</v>
      </c>
      <c r="C2" s="79"/>
      <c r="D2" s="59" t="s">
        <v>101</v>
      </c>
      <c r="E2" s="80"/>
      <c r="F2" s="58" t="s">
        <v>102</v>
      </c>
      <c r="G2" s="79"/>
      <c r="H2" s="57" t="s">
        <v>103</v>
      </c>
      <c r="I2" s="81"/>
      <c r="J2" s="61" t="s">
        <v>104</v>
      </c>
      <c r="K2" s="82"/>
      <c r="L2" s="57" t="s">
        <v>105</v>
      </c>
      <c r="M2" s="57"/>
      <c r="N2" s="53"/>
    </row>
    <row r="3" spans="1:14" ht="24.95" customHeight="1">
      <c r="A3" s="56"/>
      <c r="B3" s="5">
        <v>14</v>
      </c>
      <c r="C3" s="6">
        <v>22</v>
      </c>
      <c r="D3" s="5">
        <v>12</v>
      </c>
      <c r="E3" s="6">
        <v>19</v>
      </c>
      <c r="F3" s="5">
        <v>2</v>
      </c>
      <c r="G3" s="6">
        <v>9</v>
      </c>
      <c r="H3" s="5">
        <v>15</v>
      </c>
      <c r="I3" s="6">
        <v>29</v>
      </c>
      <c r="J3" s="5">
        <v>13</v>
      </c>
      <c r="K3" s="6">
        <v>27</v>
      </c>
      <c r="L3" s="7">
        <v>10</v>
      </c>
      <c r="M3" s="6">
        <v>24</v>
      </c>
      <c r="N3" s="54"/>
    </row>
    <row r="4" spans="1:14" s="2" customFormat="1" ht="24.95" customHeight="1">
      <c r="A4" s="15" t="s">
        <v>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48">
        <f t="shared" ref="N4:N9" si="0">COUNTIF(B4:G4,"AO VIVO")*12+COUNTIF(B4:G4,"EAD")*8+COUNTIF(H4:M4,"AO VIVO")*12+COUNTIF(H4:M4,"EAD")*8</f>
        <v>0</v>
      </c>
    </row>
    <row r="5" spans="1:14" s="2" customFormat="1" ht="24.95" customHeight="1">
      <c r="A5" s="16" t="s">
        <v>10</v>
      </c>
      <c r="B5" s="9" t="s">
        <v>106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49">
        <f t="shared" si="0"/>
        <v>12</v>
      </c>
    </row>
    <row r="6" spans="1:14" s="2" customFormat="1" ht="24.95" customHeight="1">
      <c r="A6" s="15" t="s">
        <v>12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48">
        <f t="shared" si="0"/>
        <v>0</v>
      </c>
    </row>
    <row r="7" spans="1:14" s="2" customFormat="1" ht="24.95" customHeight="1">
      <c r="A7" s="16" t="s">
        <v>14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49">
        <f t="shared" si="0"/>
        <v>0</v>
      </c>
    </row>
    <row r="8" spans="1:14" s="2" customFormat="1" ht="24.95" customHeight="1">
      <c r="A8" s="15" t="s">
        <v>16</v>
      </c>
      <c r="B8" s="8" t="s">
        <v>106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48">
        <f t="shared" si="0"/>
        <v>12</v>
      </c>
    </row>
    <row r="9" spans="1:14" s="2" customFormat="1" ht="24.95" customHeight="1">
      <c r="A9" s="16" t="s">
        <v>17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49">
        <f t="shared" si="0"/>
        <v>0</v>
      </c>
    </row>
    <row r="10" spans="1:14" s="2" customFormat="1" ht="24.95" customHeight="1">
      <c r="A10" s="15" t="s">
        <v>18</v>
      </c>
      <c r="B10" s="8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48">
        <f t="shared" ref="N10:N73" si="1">COUNTIF(B10:G10,"AO VIVO")*12+COUNTIF(B10:G10,"EAD")*8+COUNTIF(H10:M10,"AO VIVO")*12+COUNTIF(H10:M10,"EAD")*8</f>
        <v>12</v>
      </c>
    </row>
    <row r="11" spans="1:14" s="2" customFormat="1" ht="24.95" customHeight="1">
      <c r="A11" s="16" t="s">
        <v>19</v>
      </c>
      <c r="B11" s="9" t="s">
        <v>106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49">
        <f t="shared" si="1"/>
        <v>12</v>
      </c>
    </row>
    <row r="12" spans="1:14" s="2" customFormat="1" ht="24.95" customHeight="1">
      <c r="A12" s="15" t="s">
        <v>20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48">
        <f t="shared" si="1"/>
        <v>0</v>
      </c>
    </row>
    <row r="13" spans="1:14" s="2" customFormat="1" ht="24.95" customHeight="1">
      <c r="A13" s="16" t="s">
        <v>21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49">
        <f t="shared" si="1"/>
        <v>0</v>
      </c>
    </row>
    <row r="14" spans="1:14" s="2" customFormat="1" ht="24.95" customHeight="1">
      <c r="A14" s="15" t="s">
        <v>22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48">
        <f t="shared" si="1"/>
        <v>0</v>
      </c>
    </row>
    <row r="15" spans="1:14" s="2" customFormat="1" ht="24.95" customHeight="1">
      <c r="A15" s="16" t="s">
        <v>23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49">
        <f t="shared" si="1"/>
        <v>0</v>
      </c>
    </row>
    <row r="16" spans="1:14" s="2" customFormat="1" ht="24.95" customHeight="1">
      <c r="A16" s="15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48">
        <f t="shared" si="1"/>
        <v>0</v>
      </c>
    </row>
    <row r="17" spans="1:14" s="2" customFormat="1" ht="24.95" customHeight="1">
      <c r="A17" s="16" t="s">
        <v>25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49">
        <f t="shared" si="1"/>
        <v>0</v>
      </c>
    </row>
    <row r="18" spans="1:14" s="2" customFormat="1" ht="24.95" customHeight="1">
      <c r="A18" s="15" t="s">
        <v>26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48">
        <f t="shared" si="1"/>
        <v>0</v>
      </c>
    </row>
    <row r="19" spans="1:14" s="2" customFormat="1" ht="24.95" customHeight="1">
      <c r="A19" s="16" t="s">
        <v>27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49">
        <f t="shared" si="1"/>
        <v>0</v>
      </c>
    </row>
    <row r="20" spans="1:14" s="2" customFormat="1" ht="24.95" customHeight="1">
      <c r="A20" s="15" t="s">
        <v>8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48">
        <f t="shared" si="1"/>
        <v>0</v>
      </c>
    </row>
    <row r="21" spans="1:14" s="2" customFormat="1" ht="24.95" customHeight="1">
      <c r="A21" s="16" t="s">
        <v>28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49">
        <f t="shared" si="1"/>
        <v>0</v>
      </c>
    </row>
    <row r="22" spans="1:14" s="2" customFormat="1" ht="24.95" customHeight="1">
      <c r="A22" s="15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48">
        <f t="shared" si="1"/>
        <v>0</v>
      </c>
    </row>
    <row r="23" spans="1:14" s="2" customFormat="1" ht="24.95" customHeight="1">
      <c r="A23" s="16" t="s">
        <v>31</v>
      </c>
      <c r="B23" s="9" t="s">
        <v>106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49">
        <f t="shared" si="1"/>
        <v>12</v>
      </c>
    </row>
    <row r="24" spans="1:14" s="2" customFormat="1" ht="24.95" customHeight="1">
      <c r="A24" s="15" t="s">
        <v>32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48">
        <f t="shared" si="1"/>
        <v>0</v>
      </c>
    </row>
    <row r="25" spans="1:14" s="2" customFormat="1" ht="24.95" customHeight="1">
      <c r="A25" s="16" t="s">
        <v>33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49">
        <f t="shared" si="1"/>
        <v>0</v>
      </c>
    </row>
    <row r="26" spans="1:14" s="2" customFormat="1" ht="24.95" customHeight="1">
      <c r="A26" s="15" t="s">
        <v>34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48">
        <f t="shared" si="1"/>
        <v>0</v>
      </c>
    </row>
    <row r="27" spans="1:14" s="2" customFormat="1" ht="24.95" customHeight="1">
      <c r="A27" s="16" t="s">
        <v>35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49">
        <f t="shared" si="1"/>
        <v>0</v>
      </c>
    </row>
    <row r="28" spans="1:14" s="2" customFormat="1" ht="24.95" customHeight="1">
      <c r="A28" s="15" t="s">
        <v>36</v>
      </c>
      <c r="B28" s="8" t="s">
        <v>106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48">
        <f t="shared" si="1"/>
        <v>12</v>
      </c>
    </row>
    <row r="29" spans="1:14" s="2" customFormat="1" ht="24.95" customHeight="1">
      <c r="A29" s="16" t="s">
        <v>37</v>
      </c>
      <c r="B29" s="9"/>
      <c r="C29" s="9" t="s">
        <v>106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49">
        <f t="shared" si="1"/>
        <v>12</v>
      </c>
    </row>
    <row r="30" spans="1:14" s="2" customFormat="1" ht="24.95" customHeight="1">
      <c r="A30" s="15" t="s">
        <v>38</v>
      </c>
      <c r="B30" s="8" t="s">
        <v>106</v>
      </c>
      <c r="C30" s="8" t="s">
        <v>106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48">
        <f t="shared" si="1"/>
        <v>24</v>
      </c>
    </row>
    <row r="31" spans="1:14" s="2" customFormat="1" ht="24.95" customHeight="1">
      <c r="A31" s="16" t="s">
        <v>39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49">
        <f t="shared" si="1"/>
        <v>0</v>
      </c>
    </row>
    <row r="32" spans="1:14" s="2" customFormat="1" ht="24.95" customHeight="1">
      <c r="A32" s="15" t="s">
        <v>40</v>
      </c>
      <c r="B32" s="8" t="s">
        <v>106</v>
      </c>
      <c r="C32" s="8" t="s">
        <v>106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48">
        <f t="shared" si="1"/>
        <v>24</v>
      </c>
    </row>
    <row r="33" spans="1:14" s="2" customFormat="1" ht="24.95" customHeight="1">
      <c r="A33" s="16" t="s">
        <v>41</v>
      </c>
      <c r="B33" s="9" t="s">
        <v>106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49">
        <f t="shared" si="1"/>
        <v>12</v>
      </c>
    </row>
    <row r="34" spans="1:14" s="2" customFormat="1" ht="24.95" customHeight="1">
      <c r="A34" s="15" t="s">
        <v>42</v>
      </c>
      <c r="B34" s="8" t="s">
        <v>106</v>
      </c>
      <c r="C34" s="8" t="s">
        <v>106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48">
        <f t="shared" si="1"/>
        <v>24</v>
      </c>
    </row>
    <row r="35" spans="1:14" s="2" customFormat="1" ht="24.95" customHeight="1">
      <c r="A35" s="16" t="s">
        <v>43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49">
        <f t="shared" si="1"/>
        <v>0</v>
      </c>
    </row>
    <row r="36" spans="1:14" s="2" customFormat="1" ht="24.95" customHeight="1">
      <c r="A36" s="15" t="s">
        <v>44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48">
        <f t="shared" si="1"/>
        <v>0</v>
      </c>
    </row>
    <row r="37" spans="1:14" s="2" customFormat="1" ht="24.95" customHeight="1">
      <c r="A37" s="16" t="s">
        <v>45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49">
        <f t="shared" si="1"/>
        <v>0</v>
      </c>
    </row>
    <row r="38" spans="1:14" s="2" customFormat="1" ht="24.95" customHeight="1">
      <c r="A38" s="15" t="s">
        <v>46</v>
      </c>
      <c r="B38" s="8" t="s">
        <v>106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48">
        <f t="shared" si="1"/>
        <v>12</v>
      </c>
    </row>
    <row r="39" spans="1:14" s="2" customFormat="1" ht="24.95" customHeight="1">
      <c r="A39" s="16" t="s">
        <v>47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49">
        <f t="shared" si="1"/>
        <v>0</v>
      </c>
    </row>
    <row r="40" spans="1:14" s="2" customFormat="1" ht="24.95" customHeight="1">
      <c r="A40" s="15" t="s">
        <v>48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48">
        <f t="shared" si="1"/>
        <v>0</v>
      </c>
    </row>
    <row r="41" spans="1:14" s="2" customFormat="1" ht="24.95" customHeight="1">
      <c r="A41" s="16" t="s">
        <v>50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49">
        <f t="shared" si="1"/>
        <v>0</v>
      </c>
    </row>
    <row r="42" spans="1:14" s="2" customFormat="1" ht="24.95" customHeight="1">
      <c r="A42" s="15" t="s">
        <v>51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48">
        <f t="shared" si="1"/>
        <v>0</v>
      </c>
    </row>
    <row r="43" spans="1:14" s="2" customFormat="1" ht="24.95" customHeight="1">
      <c r="A43" s="16" t="s">
        <v>52</v>
      </c>
      <c r="B43" s="9" t="s">
        <v>106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49">
        <f t="shared" si="1"/>
        <v>12</v>
      </c>
    </row>
    <row r="44" spans="1:14" s="2" customFormat="1" ht="24.95" customHeight="1">
      <c r="A44" s="15" t="s">
        <v>53</v>
      </c>
      <c r="B44" s="8" t="s">
        <v>106</v>
      </c>
      <c r="C44" s="8" t="s">
        <v>106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48">
        <f t="shared" si="1"/>
        <v>24</v>
      </c>
    </row>
    <row r="45" spans="1:14" s="2" customFormat="1" ht="24.95" customHeight="1">
      <c r="A45" s="16" t="s">
        <v>54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49">
        <f t="shared" si="1"/>
        <v>0</v>
      </c>
    </row>
    <row r="46" spans="1:14" s="2" customFormat="1" ht="24.95" customHeight="1">
      <c r="A46" s="15" t="s">
        <v>55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48">
        <f t="shared" si="1"/>
        <v>0</v>
      </c>
    </row>
    <row r="47" spans="1:14" s="2" customFormat="1" ht="24.95" customHeight="1">
      <c r="A47" s="16" t="s">
        <v>56</v>
      </c>
      <c r="B47" s="9" t="s">
        <v>106</v>
      </c>
      <c r="C47" s="9" t="s">
        <v>106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49">
        <f t="shared" si="1"/>
        <v>24</v>
      </c>
    </row>
    <row r="48" spans="1:14" s="2" customFormat="1" ht="24.95" customHeight="1">
      <c r="A48" s="15" t="s">
        <v>57</v>
      </c>
      <c r="B48" s="8"/>
      <c r="C48" s="8" t="s">
        <v>106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48">
        <f t="shared" si="1"/>
        <v>12</v>
      </c>
    </row>
    <row r="49" spans="1:14" s="2" customFormat="1" ht="24.95" customHeight="1">
      <c r="A49" s="16" t="s">
        <v>58</v>
      </c>
      <c r="B49" s="9" t="s">
        <v>106</v>
      </c>
      <c r="C49" s="9" t="s">
        <v>106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49">
        <f t="shared" si="1"/>
        <v>24</v>
      </c>
    </row>
    <row r="50" spans="1:14" s="2" customFormat="1" ht="24.95" customHeight="1">
      <c r="A50" s="15" t="s">
        <v>59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48">
        <f t="shared" si="1"/>
        <v>0</v>
      </c>
    </row>
    <row r="51" spans="1:14" s="2" customFormat="1" ht="24.95" customHeight="1">
      <c r="A51" s="16" t="s">
        <v>60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49">
        <f t="shared" si="1"/>
        <v>0</v>
      </c>
    </row>
    <row r="52" spans="1:14" s="2" customFormat="1" ht="24.95" customHeight="1">
      <c r="A52" s="15" t="s">
        <v>61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48">
        <f t="shared" si="1"/>
        <v>0</v>
      </c>
    </row>
    <row r="53" spans="1:14" s="2" customFormat="1" ht="24.95" customHeight="1">
      <c r="A53" s="16" t="s">
        <v>62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49">
        <f t="shared" si="1"/>
        <v>0</v>
      </c>
    </row>
    <row r="54" spans="1:14" s="2" customFormat="1" ht="24.95" customHeight="1">
      <c r="A54" s="15" t="s">
        <v>63</v>
      </c>
      <c r="B54" s="8" t="s">
        <v>106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48">
        <f t="shared" si="1"/>
        <v>12</v>
      </c>
    </row>
    <row r="55" spans="1:14" s="2" customFormat="1" ht="24.95" customHeight="1">
      <c r="A55" s="16" t="s">
        <v>64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49">
        <f t="shared" si="1"/>
        <v>0</v>
      </c>
    </row>
    <row r="56" spans="1:14" s="2" customFormat="1" ht="24.95" customHeight="1">
      <c r="A56" s="15" t="s">
        <v>65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48">
        <f t="shared" si="1"/>
        <v>0</v>
      </c>
    </row>
    <row r="57" spans="1:14" s="2" customFormat="1" ht="24.95" customHeight="1">
      <c r="A57" s="16" t="s">
        <v>66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49">
        <f t="shared" si="1"/>
        <v>0</v>
      </c>
    </row>
    <row r="58" spans="1:14" s="2" customFormat="1" ht="24.95" customHeight="1">
      <c r="A58" s="15" t="s">
        <v>67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48">
        <f t="shared" si="1"/>
        <v>0</v>
      </c>
    </row>
    <row r="59" spans="1:14" s="2" customFormat="1" ht="24.95" customHeight="1">
      <c r="A59" s="16" t="s">
        <v>68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49">
        <f t="shared" si="1"/>
        <v>0</v>
      </c>
    </row>
    <row r="60" spans="1:14" s="2" customFormat="1" ht="24.95" customHeight="1">
      <c r="A60" s="15" t="s">
        <v>69</v>
      </c>
      <c r="B60" s="8" t="s">
        <v>106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48">
        <f t="shared" si="1"/>
        <v>12</v>
      </c>
    </row>
    <row r="61" spans="1:14" s="2" customFormat="1" ht="24.95" customHeight="1">
      <c r="A61" s="16" t="s">
        <v>70</v>
      </c>
      <c r="B61" s="9" t="s">
        <v>106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49">
        <f t="shared" si="1"/>
        <v>12</v>
      </c>
    </row>
    <row r="62" spans="1:14" s="2" customFormat="1" ht="24.95" customHeight="1">
      <c r="A62" s="15" t="s">
        <v>71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48">
        <f t="shared" si="1"/>
        <v>0</v>
      </c>
    </row>
    <row r="63" spans="1:14" s="2" customFormat="1" ht="24.95" customHeight="1">
      <c r="A63" s="16" t="s">
        <v>72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49">
        <f t="shared" si="1"/>
        <v>0</v>
      </c>
    </row>
    <row r="64" spans="1:14" s="2" customFormat="1" ht="24.95" customHeight="1">
      <c r="A64" s="15" t="s">
        <v>73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48">
        <f t="shared" si="1"/>
        <v>0</v>
      </c>
    </row>
    <row r="65" spans="1:14" s="2" customFormat="1" ht="24.95" customHeight="1">
      <c r="A65" s="16" t="s">
        <v>74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49">
        <f t="shared" si="1"/>
        <v>0</v>
      </c>
    </row>
    <row r="66" spans="1:14" s="2" customFormat="1" ht="24.95" customHeight="1">
      <c r="A66" s="15" t="s">
        <v>75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48">
        <f t="shared" si="1"/>
        <v>0</v>
      </c>
    </row>
    <row r="67" spans="1:14" s="2" customFormat="1" ht="24.95" customHeight="1">
      <c r="A67" s="16" t="s">
        <v>76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49">
        <f t="shared" si="1"/>
        <v>0</v>
      </c>
    </row>
    <row r="68" spans="1:14" s="2" customFormat="1" ht="24.95" customHeight="1">
      <c r="A68" s="15" t="s">
        <v>77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48">
        <f t="shared" si="1"/>
        <v>0</v>
      </c>
    </row>
    <row r="69" spans="1:14" s="2" customFormat="1" ht="24.95" customHeight="1">
      <c r="A69" s="16" t="s">
        <v>79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49">
        <f t="shared" si="1"/>
        <v>0</v>
      </c>
    </row>
    <row r="70" spans="1:14" s="2" customFormat="1" ht="24.95" customHeight="1">
      <c r="A70" s="15" t="s">
        <v>80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48">
        <f t="shared" si="1"/>
        <v>0</v>
      </c>
    </row>
    <row r="71" spans="1:14" s="2" customFormat="1" ht="24.95" customHeight="1">
      <c r="A71" s="16" t="s">
        <v>81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49">
        <f t="shared" si="1"/>
        <v>0</v>
      </c>
    </row>
    <row r="72" spans="1:14" s="2" customFormat="1" ht="24.95" customHeight="1">
      <c r="A72" s="15" t="s">
        <v>82</v>
      </c>
      <c r="B72" s="8" t="s">
        <v>106</v>
      </c>
      <c r="C72" s="8" t="s">
        <v>106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48">
        <f t="shared" si="1"/>
        <v>24</v>
      </c>
    </row>
    <row r="73" spans="1:14" s="2" customFormat="1" ht="24.95" customHeight="1">
      <c r="A73" s="16" t="s">
        <v>83</v>
      </c>
      <c r="B73" s="9" t="s">
        <v>106</v>
      </c>
      <c r="C73" s="9" t="s">
        <v>106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49">
        <f t="shared" si="1"/>
        <v>24</v>
      </c>
    </row>
    <row r="74" spans="1:14" s="2" customFormat="1" ht="24.95" customHeight="1">
      <c r="A74" s="15" t="s">
        <v>84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48">
        <f t="shared" ref="N74:N85" si="2">COUNTIF(B74:G74,"AO VIVO")*12+COUNTIF(B74:G74,"EAD")*8+COUNTIF(H74:M74,"AO VIVO")*12+COUNTIF(H74:M74,"EAD")*8</f>
        <v>0</v>
      </c>
    </row>
    <row r="75" spans="1:14" s="2" customFormat="1" ht="24.95" customHeight="1">
      <c r="A75" s="16" t="s">
        <v>85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49">
        <f t="shared" si="2"/>
        <v>0</v>
      </c>
    </row>
    <row r="76" spans="1:14" s="2" customFormat="1" ht="24.95" customHeight="1">
      <c r="A76" s="15" t="s">
        <v>87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48">
        <f t="shared" si="2"/>
        <v>0</v>
      </c>
    </row>
    <row r="77" spans="1:14" s="2" customFormat="1" ht="24.95" customHeight="1">
      <c r="A77" s="16" t="s">
        <v>88</v>
      </c>
      <c r="B77" s="9"/>
      <c r="C77" s="9" t="s">
        <v>106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49">
        <f t="shared" si="2"/>
        <v>12</v>
      </c>
    </row>
    <row r="78" spans="1:14" s="2" customFormat="1" ht="24.95" customHeight="1">
      <c r="A78" s="15" t="s">
        <v>89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48">
        <f t="shared" si="2"/>
        <v>0</v>
      </c>
    </row>
    <row r="79" spans="1:14" s="2" customFormat="1" ht="24.95" customHeight="1">
      <c r="A79" s="16" t="s">
        <v>90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49">
        <f t="shared" si="2"/>
        <v>0</v>
      </c>
    </row>
    <row r="80" spans="1:14" s="2" customFormat="1" ht="24.95" customHeight="1">
      <c r="A80" s="15" t="s">
        <v>91</v>
      </c>
      <c r="B80" s="8"/>
      <c r="C80" s="8" t="s">
        <v>106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48">
        <f t="shared" si="2"/>
        <v>12</v>
      </c>
    </row>
    <row r="81" spans="1:14" s="2" customFormat="1" ht="24.95" customHeight="1">
      <c r="A81" s="16" t="s">
        <v>92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49">
        <f t="shared" si="2"/>
        <v>0</v>
      </c>
    </row>
    <row r="82" spans="1:14" s="2" customFormat="1" ht="24.95" customHeight="1">
      <c r="A82" s="15" t="s">
        <v>93</v>
      </c>
      <c r="B82" s="8"/>
      <c r="C82" s="8" t="s">
        <v>106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48">
        <f t="shared" si="2"/>
        <v>12</v>
      </c>
    </row>
    <row r="83" spans="1:14" s="2" customFormat="1" ht="24.95" customHeight="1">
      <c r="A83" s="16" t="s">
        <v>94</v>
      </c>
      <c r="B83" s="9" t="s">
        <v>106</v>
      </c>
      <c r="C83" s="9"/>
      <c r="D83" s="9" t="s">
        <v>107</v>
      </c>
      <c r="E83" s="9"/>
      <c r="F83" s="9"/>
      <c r="G83" s="9"/>
      <c r="H83" s="9"/>
      <c r="I83" s="9"/>
      <c r="J83" s="9"/>
      <c r="K83" s="9"/>
      <c r="L83" s="9"/>
      <c r="M83" s="9"/>
      <c r="N83" s="49">
        <f t="shared" si="2"/>
        <v>24</v>
      </c>
    </row>
    <row r="84" spans="1:14" s="2" customFormat="1" ht="24.95" customHeight="1">
      <c r="A84" s="15" t="s">
        <v>95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48">
        <f t="shared" si="2"/>
        <v>0</v>
      </c>
    </row>
    <row r="85" spans="1:14" ht="24.95" customHeight="1">
      <c r="A85" s="16" t="s">
        <v>108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49">
        <f t="shared" si="2"/>
        <v>0</v>
      </c>
    </row>
    <row r="87" spans="1:14" ht="15" customHeight="1">
      <c r="A87" s="10" t="s">
        <v>109</v>
      </c>
    </row>
    <row r="88" spans="1:14" ht="15" customHeight="1">
      <c r="A88" s="11" t="s">
        <v>106</v>
      </c>
      <c r="B88" s="12" t="s">
        <v>110</v>
      </c>
    </row>
    <row r="89" spans="1:14" ht="15" customHeight="1">
      <c r="A89" s="13" t="s">
        <v>111</v>
      </c>
      <c r="B89" s="12" t="s">
        <v>112</v>
      </c>
    </row>
    <row r="90" spans="1:14" ht="15" customHeight="1">
      <c r="A90" s="14" t="s">
        <v>113</v>
      </c>
      <c r="B90" s="12" t="s">
        <v>114</v>
      </c>
    </row>
  </sheetData>
  <mergeCells count="10">
    <mergeCell ref="N1:N3"/>
    <mergeCell ref="A1:A3"/>
    <mergeCell ref="L2:M2"/>
    <mergeCell ref="F2:G2"/>
    <mergeCell ref="B2:C2"/>
    <mergeCell ref="D2:E2"/>
    <mergeCell ref="B1:G1"/>
    <mergeCell ref="J2:K2"/>
    <mergeCell ref="H2:I2"/>
    <mergeCell ref="H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O294"/>
  <sheetViews>
    <sheetView zoomScaleNormal="100" workbookViewId="0">
      <pane xSplit="1" ySplit="2" topLeftCell="C72" activePane="bottomRight" state="frozen"/>
      <selection pane="bottomRight" activeCell="A169" sqref="A169"/>
      <selection pane="bottomLeft" activeCell="A3" sqref="A3"/>
      <selection pane="topRight" activeCell="B1" sqref="B1"/>
    </sheetView>
  </sheetViews>
  <sheetFormatPr defaultColWidth="8.5703125" defaultRowHeight="17.45"/>
  <cols>
    <col min="1" max="1" width="86.5703125" style="23" customWidth="1"/>
    <col min="2" max="13" width="10" style="4" customWidth="1"/>
    <col min="14" max="14" width="22.5703125" style="24" customWidth="1"/>
  </cols>
  <sheetData>
    <row r="1" spans="1:15" ht="24.95" customHeight="1">
      <c r="A1" s="55" t="s">
        <v>96</v>
      </c>
      <c r="B1" s="66" t="s">
        <v>115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1" t="s">
        <v>116</v>
      </c>
      <c r="O1" s="1"/>
    </row>
    <row r="2" spans="1:15" ht="24.95" customHeight="1">
      <c r="A2" s="55"/>
      <c r="B2" s="17" t="s">
        <v>117</v>
      </c>
      <c r="C2" s="18" t="s">
        <v>118</v>
      </c>
      <c r="D2" s="17" t="s">
        <v>119</v>
      </c>
      <c r="E2" s="18" t="s">
        <v>100</v>
      </c>
      <c r="F2" s="17" t="s">
        <v>101</v>
      </c>
      <c r="G2" s="18" t="s">
        <v>102</v>
      </c>
      <c r="H2" s="17" t="s">
        <v>120</v>
      </c>
      <c r="I2" s="18" t="s">
        <v>121</v>
      </c>
      <c r="J2" s="17" t="s">
        <v>103</v>
      </c>
      <c r="K2" s="18" t="s">
        <v>104</v>
      </c>
      <c r="L2" s="17" t="s">
        <v>105</v>
      </c>
      <c r="M2" s="18" t="s">
        <v>122</v>
      </c>
      <c r="N2" s="72"/>
      <c r="O2" s="1"/>
    </row>
    <row r="3" spans="1:15" s="2" customFormat="1" ht="24.95" customHeight="1">
      <c r="A3" s="1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19">
        <f>IF(B88&lt;&gt;0,MAX(0,INT(((SUM(B3:M3)/B88)-1)*100)*12),0)</f>
        <v>0</v>
      </c>
    </row>
    <row r="4" spans="1:15" s="2" customFormat="1" ht="24.95" customHeight="1">
      <c r="A4" s="16" t="s">
        <v>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20">
        <f t="shared" ref="N4:N67" si="0">IF(B89&lt;&gt;0,MAX(0,INT(((SUM(B4:M4)/B89)-1)*100)*12),0)</f>
        <v>0</v>
      </c>
    </row>
    <row r="5" spans="1:15" s="2" customFormat="1" ht="24.95" customHeight="1">
      <c r="A5" s="15" t="s">
        <v>12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9">
        <f t="shared" si="0"/>
        <v>0</v>
      </c>
    </row>
    <row r="6" spans="1:15" s="2" customFormat="1" ht="24.95" customHeight="1">
      <c r="A6" s="16" t="s">
        <v>14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20">
        <f t="shared" si="0"/>
        <v>0</v>
      </c>
    </row>
    <row r="7" spans="1:15" s="2" customFormat="1" ht="24.95" customHeight="1">
      <c r="A7" s="15" t="s">
        <v>16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9">
        <f t="shared" si="0"/>
        <v>0</v>
      </c>
    </row>
    <row r="8" spans="1:15" s="2" customFormat="1" ht="24.95" customHeight="1">
      <c r="A8" s="16" t="s">
        <v>17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20">
        <f t="shared" si="0"/>
        <v>0</v>
      </c>
    </row>
    <row r="9" spans="1:15" s="2" customFormat="1" ht="24.95" customHeight="1">
      <c r="A9" s="15" t="s">
        <v>18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19">
        <f t="shared" si="0"/>
        <v>0</v>
      </c>
    </row>
    <row r="10" spans="1:15" s="2" customFormat="1" ht="24.95" customHeight="1">
      <c r="A10" s="16" t="s">
        <v>19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20">
        <f t="shared" si="0"/>
        <v>0</v>
      </c>
    </row>
    <row r="11" spans="1:15" s="2" customFormat="1" ht="24.95" customHeight="1">
      <c r="A11" s="15" t="s">
        <v>20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19">
        <f t="shared" si="0"/>
        <v>0</v>
      </c>
    </row>
    <row r="12" spans="1:15" s="2" customFormat="1" ht="24.95" customHeight="1">
      <c r="A12" s="16" t="s">
        <v>21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20">
        <f t="shared" si="0"/>
        <v>0</v>
      </c>
    </row>
    <row r="13" spans="1:15" s="2" customFormat="1" ht="24.95" customHeight="1">
      <c r="A13" s="15" t="s">
        <v>22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19">
        <f t="shared" si="0"/>
        <v>0</v>
      </c>
    </row>
    <row r="14" spans="1:15" s="2" customFormat="1" ht="24.95" customHeight="1">
      <c r="A14" s="16" t="s">
        <v>23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20">
        <f t="shared" si="0"/>
        <v>0</v>
      </c>
    </row>
    <row r="15" spans="1:15" s="2" customFormat="1" ht="24.95" customHeight="1">
      <c r="A15" s="15" t="s">
        <v>24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19">
        <f t="shared" si="0"/>
        <v>0</v>
      </c>
    </row>
    <row r="16" spans="1:15" s="2" customFormat="1" ht="24.95" customHeight="1">
      <c r="A16" s="16" t="s">
        <v>25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20">
        <f t="shared" si="0"/>
        <v>0</v>
      </c>
    </row>
    <row r="17" spans="1:14" s="2" customFormat="1" ht="24.95" customHeight="1">
      <c r="A17" s="15" t="s">
        <v>26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19">
        <f t="shared" si="0"/>
        <v>0</v>
      </c>
    </row>
    <row r="18" spans="1:14" s="2" customFormat="1" ht="24.95" customHeight="1">
      <c r="A18" s="16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20">
        <f t="shared" si="0"/>
        <v>0</v>
      </c>
    </row>
    <row r="19" spans="1:14" s="2" customFormat="1" ht="24.95" customHeight="1">
      <c r="A19" s="15" t="s">
        <v>8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19">
        <f t="shared" si="0"/>
        <v>0</v>
      </c>
    </row>
    <row r="20" spans="1:14" s="2" customFormat="1" ht="24.95" customHeight="1">
      <c r="A20" s="16" t="s">
        <v>28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20">
        <f t="shared" si="0"/>
        <v>0</v>
      </c>
    </row>
    <row r="21" spans="1:14" s="2" customFormat="1" ht="24.95" customHeight="1">
      <c r="A21" s="15" t="s">
        <v>29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19">
        <f t="shared" si="0"/>
        <v>0</v>
      </c>
    </row>
    <row r="22" spans="1:14" s="2" customFormat="1" ht="24.95" customHeight="1">
      <c r="A22" s="16" t="s">
        <v>31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20">
        <f t="shared" si="0"/>
        <v>0</v>
      </c>
    </row>
    <row r="23" spans="1:14" s="2" customFormat="1" ht="24.95" customHeight="1">
      <c r="A23" s="15" t="s">
        <v>32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19">
        <f t="shared" si="0"/>
        <v>0</v>
      </c>
    </row>
    <row r="24" spans="1:14" s="2" customFormat="1" ht="24.95" customHeight="1">
      <c r="A24" s="16" t="s">
        <v>33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20">
        <f t="shared" si="0"/>
        <v>0</v>
      </c>
    </row>
    <row r="25" spans="1:14" s="2" customFormat="1" ht="24.95" customHeight="1">
      <c r="A25" s="15" t="s">
        <v>34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9">
        <f t="shared" si="0"/>
        <v>0</v>
      </c>
    </row>
    <row r="26" spans="1:14" s="2" customFormat="1" ht="24.95" customHeight="1">
      <c r="A26" s="16" t="s">
        <v>35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20">
        <f t="shared" si="0"/>
        <v>0</v>
      </c>
    </row>
    <row r="27" spans="1:14" s="2" customFormat="1" ht="24.95" customHeight="1">
      <c r="A27" s="15" t="s">
        <v>36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19">
        <f t="shared" si="0"/>
        <v>0</v>
      </c>
    </row>
    <row r="28" spans="1:14" s="2" customFormat="1" ht="24.95" customHeight="1">
      <c r="A28" s="16" t="s">
        <v>37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20">
        <f t="shared" si="0"/>
        <v>0</v>
      </c>
    </row>
    <row r="29" spans="1:14" s="2" customFormat="1" ht="24.95" customHeight="1">
      <c r="A29" s="15" t="s">
        <v>38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19">
        <f t="shared" si="0"/>
        <v>0</v>
      </c>
    </row>
    <row r="30" spans="1:14" s="2" customFormat="1" ht="24.95" customHeight="1">
      <c r="A30" s="16" t="s">
        <v>39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20">
        <f t="shared" si="0"/>
        <v>0</v>
      </c>
    </row>
    <row r="31" spans="1:14" s="2" customFormat="1" ht="24.95" customHeight="1">
      <c r="A31" s="15" t="s">
        <v>40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19">
        <f t="shared" si="0"/>
        <v>0</v>
      </c>
    </row>
    <row r="32" spans="1:14" s="2" customFormat="1" ht="24.95" customHeight="1">
      <c r="A32" s="16" t="s">
        <v>41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20">
        <f t="shared" si="0"/>
        <v>0</v>
      </c>
    </row>
    <row r="33" spans="1:14" s="2" customFormat="1" ht="24.95" customHeight="1">
      <c r="A33" s="15" t="s">
        <v>42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19">
        <f t="shared" si="0"/>
        <v>0</v>
      </c>
    </row>
    <row r="34" spans="1:14" s="2" customFormat="1" ht="24.95" customHeight="1">
      <c r="A34" s="16" t="s">
        <v>43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20">
        <f t="shared" si="0"/>
        <v>0</v>
      </c>
    </row>
    <row r="35" spans="1:14" s="2" customFormat="1" ht="24.95" customHeight="1">
      <c r="A35" s="15" t="s">
        <v>44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19">
        <f t="shared" si="0"/>
        <v>0</v>
      </c>
    </row>
    <row r="36" spans="1:14" s="2" customFormat="1" ht="24.95" customHeight="1">
      <c r="A36" s="16" t="s">
        <v>45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20">
        <f t="shared" si="0"/>
        <v>0</v>
      </c>
    </row>
    <row r="37" spans="1:14" s="2" customFormat="1" ht="24.95" customHeight="1">
      <c r="A37" s="15" t="s">
        <v>46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9">
        <f t="shared" si="0"/>
        <v>0</v>
      </c>
    </row>
    <row r="38" spans="1:14" s="2" customFormat="1" ht="24.95" customHeight="1">
      <c r="A38" s="16" t="s">
        <v>47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20">
        <f t="shared" si="0"/>
        <v>0</v>
      </c>
    </row>
    <row r="39" spans="1:14" s="2" customFormat="1" ht="24.95" customHeight="1">
      <c r="A39" s="15" t="s">
        <v>48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9">
        <f t="shared" si="0"/>
        <v>0</v>
      </c>
    </row>
    <row r="40" spans="1:14" s="2" customFormat="1" ht="24.95" customHeight="1">
      <c r="A40" s="16" t="s">
        <v>50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20">
        <f t="shared" si="0"/>
        <v>0</v>
      </c>
    </row>
    <row r="41" spans="1:14" s="2" customFormat="1" ht="24.95" customHeight="1">
      <c r="A41" s="15" t="s">
        <v>51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19">
        <f t="shared" si="0"/>
        <v>0</v>
      </c>
    </row>
    <row r="42" spans="1:14" s="2" customFormat="1" ht="24.95" customHeight="1">
      <c r="A42" s="16" t="s">
        <v>52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20">
        <f t="shared" si="0"/>
        <v>0</v>
      </c>
    </row>
    <row r="43" spans="1:14" s="2" customFormat="1" ht="24.95" customHeight="1">
      <c r="A43" s="15" t="s">
        <v>53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19">
        <f t="shared" si="0"/>
        <v>0</v>
      </c>
    </row>
    <row r="44" spans="1:14" s="2" customFormat="1" ht="24.95" customHeight="1">
      <c r="A44" s="16" t="s">
        <v>54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20">
        <f t="shared" si="0"/>
        <v>0</v>
      </c>
    </row>
    <row r="45" spans="1:14" s="2" customFormat="1" ht="24.95" customHeight="1">
      <c r="A45" s="15" t="s">
        <v>55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19">
        <f t="shared" si="0"/>
        <v>0</v>
      </c>
    </row>
    <row r="46" spans="1:14" s="2" customFormat="1" ht="24.95" customHeight="1">
      <c r="A46" s="16" t="s">
        <v>56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20">
        <f t="shared" si="0"/>
        <v>0</v>
      </c>
    </row>
    <row r="47" spans="1:14" s="2" customFormat="1" ht="24.95" customHeight="1">
      <c r="A47" s="15" t="s">
        <v>57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19">
        <f t="shared" si="0"/>
        <v>0</v>
      </c>
    </row>
    <row r="48" spans="1:14" s="2" customFormat="1" ht="24.95" customHeight="1">
      <c r="A48" s="16" t="s">
        <v>58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20">
        <f t="shared" si="0"/>
        <v>0</v>
      </c>
    </row>
    <row r="49" spans="1:14" s="2" customFormat="1" ht="24.95" customHeight="1">
      <c r="A49" s="15" t="s">
        <v>59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19">
        <f t="shared" si="0"/>
        <v>0</v>
      </c>
    </row>
    <row r="50" spans="1:14" s="2" customFormat="1" ht="24.95" customHeight="1">
      <c r="A50" s="16" t="s">
        <v>60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20">
        <f t="shared" si="0"/>
        <v>0</v>
      </c>
    </row>
    <row r="51" spans="1:14" s="2" customFormat="1" ht="24.95" customHeight="1">
      <c r="A51" s="15" t="s">
        <v>61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19">
        <f t="shared" si="0"/>
        <v>0</v>
      </c>
    </row>
    <row r="52" spans="1:14" s="2" customFormat="1" ht="24.95" customHeight="1">
      <c r="A52" s="16" t="s">
        <v>62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20">
        <f t="shared" si="0"/>
        <v>0</v>
      </c>
    </row>
    <row r="53" spans="1:14" s="2" customFormat="1" ht="24.95" customHeight="1">
      <c r="A53" s="15" t="s">
        <v>63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19">
        <f t="shared" si="0"/>
        <v>0</v>
      </c>
    </row>
    <row r="54" spans="1:14" s="2" customFormat="1" ht="24.95" customHeight="1">
      <c r="A54" s="16" t="s">
        <v>64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20">
        <f t="shared" si="0"/>
        <v>0</v>
      </c>
    </row>
    <row r="55" spans="1:14" s="2" customFormat="1" ht="24.95" customHeight="1">
      <c r="A55" s="15" t="s">
        <v>65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19">
        <f t="shared" si="0"/>
        <v>0</v>
      </c>
    </row>
    <row r="56" spans="1:14" s="2" customFormat="1" ht="24.95" customHeight="1">
      <c r="A56" s="16" t="s">
        <v>66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20">
        <f t="shared" si="0"/>
        <v>0</v>
      </c>
    </row>
    <row r="57" spans="1:14" s="2" customFormat="1" ht="24.95" customHeight="1">
      <c r="A57" s="15" t="s">
        <v>67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9">
        <f t="shared" si="0"/>
        <v>0</v>
      </c>
    </row>
    <row r="58" spans="1:14" s="2" customFormat="1" ht="24.95" customHeight="1">
      <c r="A58" s="16" t="s">
        <v>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20">
        <f t="shared" si="0"/>
        <v>0</v>
      </c>
    </row>
    <row r="59" spans="1:14" s="2" customFormat="1" ht="24.95" customHeight="1">
      <c r="A59" s="15" t="s">
        <v>69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19">
        <f t="shared" si="0"/>
        <v>0</v>
      </c>
    </row>
    <row r="60" spans="1:14" s="2" customFormat="1" ht="24.95" customHeight="1">
      <c r="A60" s="16" t="s">
        <v>70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20">
        <f t="shared" si="0"/>
        <v>0</v>
      </c>
    </row>
    <row r="61" spans="1:14" s="2" customFormat="1" ht="24.95" customHeight="1">
      <c r="A61" s="15" t="s">
        <v>71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19">
        <f t="shared" si="0"/>
        <v>0</v>
      </c>
    </row>
    <row r="62" spans="1:14" s="2" customFormat="1" ht="24.95" customHeight="1">
      <c r="A62" s="16" t="s">
        <v>72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20">
        <f t="shared" si="0"/>
        <v>0</v>
      </c>
    </row>
    <row r="63" spans="1:14" s="2" customFormat="1" ht="24.95" customHeight="1">
      <c r="A63" s="15" t="s">
        <v>73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19">
        <f t="shared" si="0"/>
        <v>0</v>
      </c>
    </row>
    <row r="64" spans="1:14" s="2" customFormat="1" ht="24.95" customHeight="1">
      <c r="A64" s="16" t="s">
        <v>74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20">
        <f t="shared" si="0"/>
        <v>0</v>
      </c>
    </row>
    <row r="65" spans="1:14" s="2" customFormat="1" ht="24.95" customHeight="1">
      <c r="A65" s="15" t="s">
        <v>75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19">
        <f t="shared" si="0"/>
        <v>0</v>
      </c>
    </row>
    <row r="66" spans="1:14" s="2" customFormat="1" ht="24.95" customHeight="1">
      <c r="A66" s="16" t="s">
        <v>76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20">
        <f t="shared" si="0"/>
        <v>0</v>
      </c>
    </row>
    <row r="67" spans="1:14" s="2" customFormat="1" ht="24.95" customHeight="1">
      <c r="A67" s="15" t="s">
        <v>77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19">
        <f t="shared" si="0"/>
        <v>0</v>
      </c>
    </row>
    <row r="68" spans="1:14" s="2" customFormat="1" ht="24.95" customHeight="1">
      <c r="A68" s="16" t="s">
        <v>79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20">
        <f t="shared" ref="N68:N83" si="1">IF(B153&lt;&gt;0,MAX(0,INT(((SUM(B68:M68)/B153)-1)*100)*12),0)</f>
        <v>0</v>
      </c>
    </row>
    <row r="69" spans="1:14" s="2" customFormat="1" ht="24.95" customHeight="1">
      <c r="A69" s="15" t="s">
        <v>80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19">
        <f t="shared" si="1"/>
        <v>0</v>
      </c>
    </row>
    <row r="70" spans="1:14" s="2" customFormat="1" ht="24.95" customHeight="1">
      <c r="A70" s="16" t="s">
        <v>81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20">
        <f t="shared" si="1"/>
        <v>0</v>
      </c>
    </row>
    <row r="71" spans="1:14" s="2" customFormat="1" ht="24.95" customHeight="1">
      <c r="A71" s="15" t="s">
        <v>82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19">
        <f t="shared" si="1"/>
        <v>0</v>
      </c>
    </row>
    <row r="72" spans="1:14" s="2" customFormat="1" ht="24.95" customHeight="1">
      <c r="A72" s="16" t="s">
        <v>83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20">
        <f t="shared" si="1"/>
        <v>0</v>
      </c>
    </row>
    <row r="73" spans="1:14" s="2" customFormat="1" ht="24.95" customHeight="1">
      <c r="A73" s="15" t="s">
        <v>84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19">
        <f t="shared" si="1"/>
        <v>0</v>
      </c>
    </row>
    <row r="74" spans="1:14" s="2" customFormat="1" ht="24.95" customHeight="1">
      <c r="A74" s="16" t="s">
        <v>85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20">
        <f t="shared" si="1"/>
        <v>0</v>
      </c>
    </row>
    <row r="75" spans="1:14" s="2" customFormat="1" ht="24.95" customHeight="1">
      <c r="A75" s="15" t="s">
        <v>87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19">
        <f t="shared" si="1"/>
        <v>0</v>
      </c>
    </row>
    <row r="76" spans="1:14" s="2" customFormat="1" ht="24.95" customHeight="1">
      <c r="A76" s="16" t="s">
        <v>88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20">
        <f t="shared" si="1"/>
        <v>0</v>
      </c>
    </row>
    <row r="77" spans="1:14" s="2" customFormat="1" ht="24.95" customHeight="1">
      <c r="A77" s="15" t="s">
        <v>89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19">
        <f t="shared" si="1"/>
        <v>0</v>
      </c>
    </row>
    <row r="78" spans="1:14" s="2" customFormat="1" ht="24.95" customHeight="1">
      <c r="A78" s="16" t="s">
        <v>90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20">
        <f t="shared" si="1"/>
        <v>0</v>
      </c>
    </row>
    <row r="79" spans="1:14" s="2" customFormat="1" ht="24.95" customHeight="1">
      <c r="A79" s="15" t="s">
        <v>91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19">
        <f t="shared" si="1"/>
        <v>0</v>
      </c>
    </row>
    <row r="80" spans="1:14" s="2" customFormat="1" ht="24.95" customHeight="1">
      <c r="A80" s="16" t="s">
        <v>92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20">
        <f t="shared" si="1"/>
        <v>0</v>
      </c>
    </row>
    <row r="81" spans="1:14" s="2" customFormat="1" ht="24.95" customHeight="1">
      <c r="A81" s="15" t="s">
        <v>93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19">
        <f t="shared" si="1"/>
        <v>0</v>
      </c>
    </row>
    <row r="82" spans="1:14" s="2" customFormat="1" ht="24.95" customHeight="1">
      <c r="A82" s="16" t="s">
        <v>94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20">
        <f t="shared" si="1"/>
        <v>0</v>
      </c>
    </row>
    <row r="83" spans="1:14" s="2" customFormat="1" ht="24.95" customHeight="1">
      <c r="A83" s="15" t="s">
        <v>95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19">
        <f t="shared" si="1"/>
        <v>0</v>
      </c>
    </row>
    <row r="84" spans="1:14" s="2" customFormat="1" ht="24.95" customHeight="1">
      <c r="A84" s="16" t="s">
        <v>108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20">
        <f t="shared" ref="N84" si="2">IF(B169&lt;&gt;0,MAX(0,INT(((SUM(B84:M84)/B169)-1)*100)*12),0)</f>
        <v>0</v>
      </c>
    </row>
    <row r="85" spans="1:14" s="2" customFormat="1" ht="24.95" customHeight="1">
      <c r="A85" s="21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</row>
    <row r="86" spans="1:14" s="2" customFormat="1" ht="24.95" customHeight="1">
      <c r="A86" s="55" t="s">
        <v>96</v>
      </c>
      <c r="B86" s="66" t="s">
        <v>123</v>
      </c>
      <c r="C86" s="66"/>
      <c r="D86" s="66"/>
      <c r="E86" s="66"/>
      <c r="F86" s="22"/>
      <c r="G86" s="22"/>
      <c r="H86" s="22"/>
      <c r="I86" s="22"/>
      <c r="J86" s="22"/>
      <c r="K86" s="22"/>
      <c r="L86" s="22"/>
      <c r="M86" s="22"/>
      <c r="N86" s="22"/>
    </row>
    <row r="87" spans="1:14" s="2" customFormat="1" ht="24.95" customHeight="1">
      <c r="A87" s="55"/>
      <c r="B87" s="67"/>
      <c r="C87" s="67"/>
      <c r="D87" s="67"/>
      <c r="E87" s="67"/>
      <c r="F87" s="8"/>
      <c r="G87" s="8"/>
      <c r="H87" s="8"/>
      <c r="I87" s="8"/>
      <c r="J87" s="8"/>
      <c r="K87" s="8"/>
      <c r="L87" s="8"/>
      <c r="M87" s="8"/>
      <c r="N87" s="50"/>
    </row>
    <row r="88" spans="1:14" s="2" customFormat="1" ht="24.95" customHeight="1">
      <c r="A88" s="15" t="s">
        <v>6</v>
      </c>
      <c r="B88" s="63"/>
      <c r="C88" s="64"/>
      <c r="D88" s="64"/>
      <c r="E88" s="65"/>
      <c r="F88" s="8"/>
      <c r="G88" s="8"/>
      <c r="H88" s="8"/>
      <c r="I88" s="8"/>
      <c r="J88" s="8"/>
      <c r="K88" s="8"/>
      <c r="L88" s="8"/>
      <c r="M88" s="8"/>
      <c r="N88" s="51"/>
    </row>
    <row r="89" spans="1:14" s="2" customFormat="1" ht="24.95" customHeight="1">
      <c r="A89" s="16" t="s">
        <v>10</v>
      </c>
      <c r="B89" s="68"/>
      <c r="C89" s="69"/>
      <c r="D89" s="69"/>
      <c r="E89" s="70"/>
      <c r="F89" s="8"/>
      <c r="G89" s="8"/>
      <c r="H89" s="8"/>
      <c r="I89" s="8"/>
      <c r="J89" s="8"/>
      <c r="K89" s="8"/>
      <c r="L89" s="8"/>
      <c r="M89" s="8"/>
      <c r="N89" s="51"/>
    </row>
    <row r="90" spans="1:14" s="2" customFormat="1" ht="24.95" customHeight="1">
      <c r="A90" s="15" t="s">
        <v>12</v>
      </c>
      <c r="B90" s="63"/>
      <c r="C90" s="64"/>
      <c r="D90" s="64"/>
      <c r="E90" s="65"/>
      <c r="F90" s="8"/>
      <c r="G90" s="8"/>
      <c r="H90" s="8"/>
      <c r="I90" s="8"/>
      <c r="J90" s="8"/>
      <c r="K90" s="8"/>
      <c r="L90" s="8"/>
      <c r="M90" s="8"/>
      <c r="N90" s="51"/>
    </row>
    <row r="91" spans="1:14" s="2" customFormat="1" ht="24.95" customHeight="1">
      <c r="A91" s="16" t="s">
        <v>14</v>
      </c>
      <c r="B91" s="68"/>
      <c r="C91" s="69"/>
      <c r="D91" s="69"/>
      <c r="E91" s="70"/>
      <c r="F91" s="8"/>
      <c r="G91" s="8"/>
      <c r="H91" s="8"/>
      <c r="I91" s="8"/>
      <c r="J91" s="8"/>
      <c r="K91" s="8"/>
      <c r="L91" s="8"/>
      <c r="M91" s="8"/>
      <c r="N91" s="51"/>
    </row>
    <row r="92" spans="1:14" s="2" customFormat="1" ht="24.95" customHeight="1">
      <c r="A92" s="15" t="s">
        <v>16</v>
      </c>
      <c r="B92" s="63"/>
      <c r="C92" s="64"/>
      <c r="D92" s="64"/>
      <c r="E92" s="65"/>
      <c r="F92" s="8"/>
      <c r="G92" s="8"/>
      <c r="H92" s="8"/>
      <c r="I92" s="8"/>
      <c r="J92" s="8"/>
      <c r="K92" s="8"/>
      <c r="L92" s="8"/>
      <c r="M92" s="8"/>
      <c r="N92" s="51"/>
    </row>
    <row r="93" spans="1:14" s="2" customFormat="1" ht="24.95" customHeight="1">
      <c r="A93" s="16" t="s">
        <v>17</v>
      </c>
      <c r="B93" s="68"/>
      <c r="C93" s="69"/>
      <c r="D93" s="69"/>
      <c r="E93" s="70"/>
      <c r="F93" s="8"/>
      <c r="G93" s="8"/>
      <c r="H93" s="8"/>
      <c r="I93" s="8"/>
      <c r="J93" s="8"/>
      <c r="K93" s="8"/>
      <c r="L93" s="8"/>
      <c r="M93" s="8"/>
      <c r="N93" s="51"/>
    </row>
    <row r="94" spans="1:14" s="2" customFormat="1" ht="24.95" customHeight="1">
      <c r="A94" s="15" t="s">
        <v>18</v>
      </c>
      <c r="B94" s="63"/>
      <c r="C94" s="64"/>
      <c r="D94" s="64"/>
      <c r="E94" s="65"/>
      <c r="F94" s="22"/>
      <c r="G94" s="22"/>
      <c r="H94" s="22"/>
      <c r="I94" s="22"/>
      <c r="J94" s="22"/>
      <c r="K94" s="22"/>
      <c r="L94" s="22"/>
      <c r="M94" s="22"/>
      <c r="N94" s="22"/>
    </row>
    <row r="95" spans="1:14" s="2" customFormat="1" ht="24.95" customHeight="1">
      <c r="A95" s="16" t="s">
        <v>19</v>
      </c>
      <c r="B95" s="68"/>
      <c r="C95" s="69"/>
      <c r="D95" s="69"/>
      <c r="E95" s="70"/>
      <c r="F95" s="22"/>
      <c r="G95" s="22"/>
      <c r="H95" s="22"/>
      <c r="I95" s="22"/>
      <c r="J95" s="22"/>
      <c r="K95" s="22"/>
      <c r="L95" s="22"/>
      <c r="M95" s="22"/>
      <c r="N95" s="22"/>
    </row>
    <row r="96" spans="1:14" s="2" customFormat="1" ht="24.95" customHeight="1">
      <c r="A96" s="15" t="s">
        <v>20</v>
      </c>
      <c r="B96" s="63"/>
      <c r="C96" s="64"/>
      <c r="D96" s="64"/>
      <c r="E96" s="65"/>
      <c r="F96" s="22"/>
      <c r="G96" s="22"/>
      <c r="H96" s="22"/>
      <c r="I96" s="22"/>
      <c r="J96" s="22"/>
      <c r="K96" s="22"/>
      <c r="L96" s="22"/>
      <c r="M96" s="22"/>
      <c r="N96" s="22"/>
    </row>
    <row r="97" spans="1:14" s="2" customFormat="1" ht="24.95" customHeight="1">
      <c r="A97" s="16" t="s">
        <v>21</v>
      </c>
      <c r="B97" s="68"/>
      <c r="C97" s="69"/>
      <c r="D97" s="69"/>
      <c r="E97" s="70"/>
      <c r="F97" s="22"/>
      <c r="G97" s="22"/>
      <c r="H97" s="22"/>
      <c r="I97" s="22"/>
      <c r="J97" s="22"/>
      <c r="K97" s="22"/>
      <c r="L97" s="22"/>
      <c r="M97" s="22"/>
      <c r="N97" s="22"/>
    </row>
    <row r="98" spans="1:14" s="2" customFormat="1" ht="24.95" customHeight="1">
      <c r="A98" s="15" t="s">
        <v>22</v>
      </c>
      <c r="B98" s="63"/>
      <c r="C98" s="64"/>
      <c r="D98" s="64"/>
      <c r="E98" s="65"/>
      <c r="F98" s="22"/>
      <c r="G98" s="22"/>
      <c r="H98" s="22"/>
      <c r="I98" s="22"/>
      <c r="J98" s="22"/>
      <c r="K98" s="22"/>
      <c r="L98" s="22"/>
      <c r="M98" s="22"/>
      <c r="N98" s="22"/>
    </row>
    <row r="99" spans="1:14" s="2" customFormat="1" ht="24.95" customHeight="1">
      <c r="A99" s="16" t="s">
        <v>23</v>
      </c>
      <c r="B99" s="68"/>
      <c r="C99" s="69"/>
      <c r="D99" s="69"/>
      <c r="E99" s="70"/>
      <c r="F99" s="22"/>
      <c r="G99" s="22"/>
      <c r="H99" s="22"/>
      <c r="I99" s="22"/>
      <c r="J99" s="22"/>
      <c r="K99" s="22"/>
      <c r="L99" s="22"/>
      <c r="M99" s="22"/>
      <c r="N99" s="22"/>
    </row>
    <row r="100" spans="1:14" s="2" customFormat="1" ht="24.95" customHeight="1">
      <c r="A100" s="15" t="s">
        <v>24</v>
      </c>
      <c r="B100" s="63"/>
      <c r="C100" s="64"/>
      <c r="D100" s="64"/>
      <c r="E100" s="65"/>
      <c r="F100" s="22"/>
      <c r="G100" s="22"/>
      <c r="H100" s="22"/>
      <c r="I100" s="22"/>
      <c r="J100" s="22"/>
      <c r="K100" s="22"/>
      <c r="L100" s="22"/>
      <c r="M100" s="22"/>
      <c r="N100" s="22"/>
    </row>
    <row r="101" spans="1:14" s="2" customFormat="1" ht="24.95" customHeight="1">
      <c r="A101" s="16" t="s">
        <v>25</v>
      </c>
      <c r="B101" s="68"/>
      <c r="C101" s="69"/>
      <c r="D101" s="69"/>
      <c r="E101" s="70"/>
      <c r="F101" s="22"/>
      <c r="G101" s="22"/>
      <c r="H101" s="22"/>
      <c r="I101" s="22"/>
      <c r="J101" s="22"/>
      <c r="K101" s="22"/>
      <c r="L101" s="22"/>
      <c r="M101" s="22"/>
      <c r="N101" s="22"/>
    </row>
    <row r="102" spans="1:14" s="2" customFormat="1" ht="24.95" customHeight="1">
      <c r="A102" s="15" t="s">
        <v>26</v>
      </c>
      <c r="B102" s="63"/>
      <c r="C102" s="64"/>
      <c r="D102" s="64"/>
      <c r="E102" s="65"/>
      <c r="F102" s="22"/>
      <c r="G102" s="22"/>
      <c r="H102" s="22"/>
      <c r="I102" s="22"/>
      <c r="J102" s="22"/>
      <c r="K102" s="22"/>
      <c r="L102" s="22"/>
      <c r="M102" s="22"/>
      <c r="N102" s="22"/>
    </row>
    <row r="103" spans="1:14" s="2" customFormat="1" ht="24.95" customHeight="1">
      <c r="A103" s="16" t="s">
        <v>27</v>
      </c>
      <c r="B103" s="68"/>
      <c r="C103" s="69"/>
      <c r="D103" s="69"/>
      <c r="E103" s="70"/>
      <c r="F103" s="22"/>
      <c r="G103" s="22"/>
      <c r="H103" s="22"/>
      <c r="I103" s="22"/>
      <c r="J103" s="22"/>
      <c r="K103" s="22"/>
      <c r="L103" s="22"/>
      <c r="M103" s="22"/>
      <c r="N103" s="22"/>
    </row>
    <row r="104" spans="1:14" s="2" customFormat="1" ht="24.95" customHeight="1">
      <c r="A104" s="15" t="s">
        <v>8</v>
      </c>
      <c r="B104" s="63"/>
      <c r="C104" s="64"/>
      <c r="D104" s="64"/>
      <c r="E104" s="65"/>
      <c r="F104" s="22"/>
      <c r="G104" s="22"/>
      <c r="H104" s="22"/>
      <c r="I104" s="22"/>
      <c r="J104" s="22"/>
      <c r="K104" s="22"/>
      <c r="L104" s="22"/>
      <c r="M104" s="22"/>
      <c r="N104" s="22"/>
    </row>
    <row r="105" spans="1:14" s="2" customFormat="1" ht="24.95" customHeight="1">
      <c r="A105" s="16" t="s">
        <v>28</v>
      </c>
      <c r="B105" s="68"/>
      <c r="C105" s="69"/>
      <c r="D105" s="69"/>
      <c r="E105" s="70"/>
      <c r="F105" s="22"/>
      <c r="G105" s="22"/>
      <c r="H105" s="22"/>
      <c r="I105" s="22"/>
      <c r="J105" s="22"/>
      <c r="K105" s="22"/>
      <c r="L105" s="22"/>
      <c r="M105" s="22"/>
      <c r="N105" s="22"/>
    </row>
    <row r="106" spans="1:14" s="2" customFormat="1" ht="24.95" customHeight="1">
      <c r="A106" s="15" t="s">
        <v>29</v>
      </c>
      <c r="B106" s="63"/>
      <c r="C106" s="64"/>
      <c r="D106" s="64"/>
      <c r="E106" s="65"/>
      <c r="F106" s="22"/>
      <c r="G106" s="22"/>
      <c r="H106" s="22"/>
      <c r="I106" s="22"/>
      <c r="J106" s="22"/>
      <c r="K106" s="22"/>
      <c r="L106" s="22"/>
      <c r="M106" s="22"/>
      <c r="N106" s="22"/>
    </row>
    <row r="107" spans="1:14" s="2" customFormat="1" ht="24.95" customHeight="1">
      <c r="A107" s="16" t="s">
        <v>31</v>
      </c>
      <c r="B107" s="68"/>
      <c r="C107" s="69"/>
      <c r="D107" s="69"/>
      <c r="E107" s="70"/>
      <c r="F107" s="22"/>
      <c r="G107" s="22"/>
      <c r="H107" s="22"/>
      <c r="I107" s="22"/>
      <c r="J107" s="22"/>
      <c r="K107" s="22"/>
      <c r="L107" s="22"/>
      <c r="M107" s="22"/>
      <c r="N107" s="22"/>
    </row>
    <row r="108" spans="1:14" s="2" customFormat="1" ht="24.95" customHeight="1">
      <c r="A108" s="15" t="s">
        <v>32</v>
      </c>
      <c r="B108" s="63"/>
      <c r="C108" s="64"/>
      <c r="D108" s="64"/>
      <c r="E108" s="65"/>
      <c r="F108" s="22"/>
      <c r="G108" s="22"/>
      <c r="H108" s="22"/>
      <c r="I108" s="22"/>
      <c r="J108" s="22"/>
      <c r="K108" s="22"/>
      <c r="L108" s="22"/>
      <c r="M108" s="22"/>
      <c r="N108" s="22"/>
    </row>
    <row r="109" spans="1:14" s="2" customFormat="1" ht="24.95" customHeight="1">
      <c r="A109" s="16" t="s">
        <v>33</v>
      </c>
      <c r="B109" s="68"/>
      <c r="C109" s="69"/>
      <c r="D109" s="69"/>
      <c r="E109" s="70"/>
      <c r="F109" s="22"/>
      <c r="G109" s="22"/>
      <c r="H109" s="22"/>
      <c r="I109" s="22"/>
      <c r="J109" s="22"/>
      <c r="K109" s="22"/>
      <c r="L109" s="22"/>
      <c r="M109" s="22"/>
      <c r="N109" s="22"/>
    </row>
    <row r="110" spans="1:14" s="2" customFormat="1" ht="24.95" customHeight="1">
      <c r="A110" s="15" t="s">
        <v>34</v>
      </c>
      <c r="B110" s="63"/>
      <c r="C110" s="64"/>
      <c r="D110" s="64"/>
      <c r="E110" s="65"/>
      <c r="F110" s="22"/>
      <c r="G110" s="22"/>
      <c r="H110" s="22"/>
      <c r="I110" s="22"/>
      <c r="J110" s="22"/>
      <c r="K110" s="22"/>
      <c r="L110" s="22"/>
      <c r="M110" s="22"/>
      <c r="N110" s="22"/>
    </row>
    <row r="111" spans="1:14" s="2" customFormat="1" ht="24.95" customHeight="1">
      <c r="A111" s="16" t="s">
        <v>35</v>
      </c>
      <c r="B111" s="68"/>
      <c r="C111" s="69"/>
      <c r="D111" s="69"/>
      <c r="E111" s="70"/>
      <c r="F111" s="22"/>
      <c r="G111" s="22"/>
      <c r="H111" s="22"/>
      <c r="I111" s="22"/>
      <c r="J111" s="22"/>
      <c r="K111" s="22"/>
      <c r="L111" s="22"/>
      <c r="M111" s="22"/>
      <c r="N111" s="22"/>
    </row>
    <row r="112" spans="1:14" s="2" customFormat="1" ht="24.95" customHeight="1">
      <c r="A112" s="15" t="s">
        <v>36</v>
      </c>
      <c r="B112" s="63"/>
      <c r="C112" s="64"/>
      <c r="D112" s="64"/>
      <c r="E112" s="65"/>
      <c r="F112" s="22"/>
      <c r="G112" s="22"/>
      <c r="H112" s="22"/>
      <c r="I112" s="22"/>
      <c r="J112" s="22"/>
      <c r="K112" s="22"/>
      <c r="L112" s="22"/>
      <c r="M112" s="22"/>
      <c r="N112" s="22"/>
    </row>
    <row r="113" spans="1:14" s="2" customFormat="1" ht="24.95" customHeight="1">
      <c r="A113" s="16" t="s">
        <v>37</v>
      </c>
      <c r="B113" s="68"/>
      <c r="C113" s="69"/>
      <c r="D113" s="69"/>
      <c r="E113" s="70"/>
      <c r="F113" s="22"/>
      <c r="G113" s="22"/>
      <c r="H113" s="22"/>
      <c r="I113" s="22"/>
      <c r="J113" s="22"/>
      <c r="K113" s="22"/>
      <c r="L113" s="22"/>
      <c r="M113" s="22"/>
      <c r="N113" s="22"/>
    </row>
    <row r="114" spans="1:14" s="2" customFormat="1" ht="24.95" customHeight="1">
      <c r="A114" s="15" t="s">
        <v>38</v>
      </c>
      <c r="B114" s="63"/>
      <c r="C114" s="64"/>
      <c r="D114" s="64"/>
      <c r="E114" s="65"/>
      <c r="F114" s="22"/>
      <c r="G114" s="22"/>
      <c r="H114" s="22"/>
      <c r="I114" s="22"/>
      <c r="J114" s="22"/>
      <c r="K114" s="22"/>
      <c r="L114" s="22"/>
      <c r="M114" s="22"/>
      <c r="N114" s="22"/>
    </row>
    <row r="115" spans="1:14" s="2" customFormat="1" ht="24.95" customHeight="1">
      <c r="A115" s="16" t="s">
        <v>39</v>
      </c>
      <c r="B115" s="68"/>
      <c r="C115" s="69"/>
      <c r="D115" s="69"/>
      <c r="E115" s="70"/>
      <c r="F115" s="22"/>
      <c r="G115" s="22"/>
      <c r="H115" s="22"/>
      <c r="I115" s="22"/>
      <c r="J115" s="22"/>
      <c r="K115" s="22"/>
      <c r="L115" s="22"/>
      <c r="M115" s="22"/>
      <c r="N115" s="22"/>
    </row>
    <row r="116" spans="1:14" s="2" customFormat="1" ht="24.95" customHeight="1">
      <c r="A116" s="15" t="s">
        <v>40</v>
      </c>
      <c r="B116" s="63"/>
      <c r="C116" s="64"/>
      <c r="D116" s="64"/>
      <c r="E116" s="65"/>
      <c r="F116" s="22"/>
      <c r="G116" s="22"/>
      <c r="H116" s="22"/>
      <c r="I116" s="22"/>
      <c r="J116" s="22"/>
      <c r="K116" s="22"/>
      <c r="L116" s="22"/>
      <c r="M116" s="22"/>
      <c r="N116" s="22"/>
    </row>
    <row r="117" spans="1:14" s="2" customFormat="1" ht="24.95" customHeight="1">
      <c r="A117" s="16" t="s">
        <v>41</v>
      </c>
      <c r="B117" s="68"/>
      <c r="C117" s="69"/>
      <c r="D117" s="69"/>
      <c r="E117" s="70"/>
      <c r="F117" s="22"/>
      <c r="G117" s="22"/>
      <c r="H117" s="22"/>
      <c r="I117" s="22"/>
      <c r="J117" s="22"/>
      <c r="K117" s="22"/>
      <c r="L117" s="22"/>
      <c r="M117" s="22"/>
      <c r="N117" s="22"/>
    </row>
    <row r="118" spans="1:14" s="2" customFormat="1" ht="24.95" customHeight="1">
      <c r="A118" s="15" t="s">
        <v>42</v>
      </c>
      <c r="B118" s="63"/>
      <c r="C118" s="64"/>
      <c r="D118" s="64"/>
      <c r="E118" s="65"/>
      <c r="F118" s="22"/>
      <c r="G118" s="22"/>
      <c r="H118" s="22"/>
      <c r="I118" s="22"/>
      <c r="J118" s="22"/>
      <c r="K118" s="22"/>
      <c r="L118" s="22"/>
      <c r="M118" s="22"/>
      <c r="N118" s="22"/>
    </row>
    <row r="119" spans="1:14" s="2" customFormat="1" ht="24.95" customHeight="1">
      <c r="A119" s="16" t="s">
        <v>43</v>
      </c>
      <c r="B119" s="68"/>
      <c r="C119" s="69"/>
      <c r="D119" s="69"/>
      <c r="E119" s="70"/>
      <c r="F119" s="22"/>
      <c r="G119" s="22"/>
      <c r="H119" s="22"/>
      <c r="I119" s="22"/>
      <c r="J119" s="22"/>
      <c r="K119" s="22"/>
      <c r="L119" s="22"/>
      <c r="M119" s="22"/>
      <c r="N119" s="22"/>
    </row>
    <row r="120" spans="1:14" s="2" customFormat="1" ht="24.95" customHeight="1">
      <c r="A120" s="15" t="s">
        <v>44</v>
      </c>
      <c r="B120" s="63"/>
      <c r="C120" s="64"/>
      <c r="D120" s="64"/>
      <c r="E120" s="65"/>
      <c r="F120" s="22"/>
      <c r="G120" s="22"/>
      <c r="H120" s="22"/>
      <c r="I120" s="22"/>
      <c r="J120" s="22"/>
      <c r="K120" s="22"/>
      <c r="L120" s="22"/>
      <c r="M120" s="22"/>
      <c r="N120" s="22"/>
    </row>
    <row r="121" spans="1:14" s="2" customFormat="1" ht="24.95" customHeight="1">
      <c r="A121" s="16" t="s">
        <v>45</v>
      </c>
      <c r="B121" s="68"/>
      <c r="C121" s="69"/>
      <c r="D121" s="69"/>
      <c r="E121" s="70"/>
      <c r="F121" s="22"/>
      <c r="G121" s="22"/>
      <c r="H121" s="22"/>
      <c r="I121" s="22"/>
      <c r="J121" s="22"/>
      <c r="K121" s="22"/>
      <c r="L121" s="22"/>
      <c r="M121" s="22"/>
      <c r="N121" s="22"/>
    </row>
    <row r="122" spans="1:14" s="2" customFormat="1" ht="24.95" customHeight="1">
      <c r="A122" s="15" t="s">
        <v>46</v>
      </c>
      <c r="B122" s="63"/>
      <c r="C122" s="64"/>
      <c r="D122" s="64"/>
      <c r="E122" s="65"/>
      <c r="F122" s="22"/>
      <c r="G122" s="22"/>
      <c r="H122" s="22"/>
      <c r="I122" s="22"/>
      <c r="J122" s="22"/>
      <c r="K122" s="22"/>
      <c r="L122" s="22"/>
      <c r="M122" s="22"/>
      <c r="N122" s="22"/>
    </row>
    <row r="123" spans="1:14" s="2" customFormat="1" ht="24.95" customHeight="1">
      <c r="A123" s="16" t="s">
        <v>47</v>
      </c>
      <c r="B123" s="68"/>
      <c r="C123" s="69"/>
      <c r="D123" s="69"/>
      <c r="E123" s="70"/>
      <c r="F123" s="22"/>
      <c r="G123" s="22"/>
      <c r="H123" s="22"/>
      <c r="I123" s="22"/>
      <c r="J123" s="22"/>
      <c r="K123" s="22"/>
      <c r="L123" s="22"/>
      <c r="M123" s="22"/>
      <c r="N123" s="22"/>
    </row>
    <row r="124" spans="1:14" s="2" customFormat="1" ht="24.95" customHeight="1">
      <c r="A124" s="15" t="s">
        <v>48</v>
      </c>
      <c r="B124" s="63"/>
      <c r="C124" s="64"/>
      <c r="D124" s="64"/>
      <c r="E124" s="65"/>
      <c r="F124" s="22"/>
      <c r="G124" s="22"/>
      <c r="H124" s="22"/>
      <c r="I124" s="22"/>
      <c r="J124" s="22"/>
      <c r="K124" s="22"/>
      <c r="L124" s="22"/>
      <c r="M124" s="22"/>
      <c r="N124" s="22"/>
    </row>
    <row r="125" spans="1:14" s="2" customFormat="1" ht="24.95" customHeight="1">
      <c r="A125" s="16" t="s">
        <v>50</v>
      </c>
      <c r="B125" s="68"/>
      <c r="C125" s="69"/>
      <c r="D125" s="69"/>
      <c r="E125" s="70"/>
      <c r="F125" s="22"/>
      <c r="G125" s="22"/>
      <c r="H125" s="22"/>
      <c r="I125" s="22"/>
      <c r="J125" s="22"/>
      <c r="K125" s="22"/>
      <c r="L125" s="22"/>
      <c r="M125" s="22"/>
      <c r="N125" s="22"/>
    </row>
    <row r="126" spans="1:14" s="2" customFormat="1" ht="24.95" customHeight="1">
      <c r="A126" s="15" t="s">
        <v>51</v>
      </c>
      <c r="B126" s="63"/>
      <c r="C126" s="64"/>
      <c r="D126" s="64"/>
      <c r="E126" s="65"/>
      <c r="F126" s="22"/>
      <c r="G126" s="22"/>
      <c r="H126" s="22"/>
      <c r="I126" s="22"/>
      <c r="J126" s="22"/>
      <c r="K126" s="22"/>
      <c r="L126" s="22"/>
      <c r="M126" s="22"/>
      <c r="N126" s="22"/>
    </row>
    <row r="127" spans="1:14" s="2" customFormat="1" ht="24.95" customHeight="1">
      <c r="A127" s="16" t="s">
        <v>52</v>
      </c>
      <c r="B127" s="68"/>
      <c r="C127" s="69"/>
      <c r="D127" s="69"/>
      <c r="E127" s="70"/>
      <c r="F127" s="22"/>
      <c r="G127" s="22"/>
      <c r="H127" s="22"/>
      <c r="I127" s="22"/>
      <c r="J127" s="22"/>
      <c r="K127" s="22"/>
      <c r="L127" s="22"/>
      <c r="M127" s="22"/>
      <c r="N127" s="22"/>
    </row>
    <row r="128" spans="1:14" s="2" customFormat="1" ht="24.95" customHeight="1">
      <c r="A128" s="15" t="s">
        <v>53</v>
      </c>
      <c r="B128" s="63"/>
      <c r="C128" s="64"/>
      <c r="D128" s="64"/>
      <c r="E128" s="65"/>
      <c r="F128" s="22"/>
      <c r="G128" s="22"/>
      <c r="H128" s="22"/>
      <c r="I128" s="22"/>
      <c r="J128" s="22"/>
      <c r="K128" s="22"/>
      <c r="L128" s="22"/>
      <c r="M128" s="22"/>
      <c r="N128" s="22"/>
    </row>
    <row r="129" spans="1:14" s="2" customFormat="1" ht="24.95" customHeight="1">
      <c r="A129" s="16" t="s">
        <v>54</v>
      </c>
      <c r="B129" s="68"/>
      <c r="C129" s="69"/>
      <c r="D129" s="69"/>
      <c r="E129" s="70"/>
      <c r="F129" s="22"/>
      <c r="G129" s="22"/>
      <c r="H129" s="22"/>
      <c r="I129" s="22"/>
      <c r="J129" s="22"/>
      <c r="K129" s="22"/>
      <c r="L129" s="22"/>
      <c r="M129" s="22"/>
      <c r="N129" s="22"/>
    </row>
    <row r="130" spans="1:14" s="2" customFormat="1" ht="24.95" customHeight="1">
      <c r="A130" s="15" t="s">
        <v>55</v>
      </c>
      <c r="B130" s="63"/>
      <c r="C130" s="64"/>
      <c r="D130" s="64"/>
      <c r="E130" s="65"/>
      <c r="F130" s="22"/>
      <c r="G130" s="22"/>
      <c r="H130" s="22"/>
      <c r="I130" s="22"/>
      <c r="J130" s="22"/>
      <c r="K130" s="22"/>
      <c r="L130" s="22"/>
      <c r="M130" s="22"/>
      <c r="N130" s="22"/>
    </row>
    <row r="131" spans="1:14" s="2" customFormat="1" ht="24.95" customHeight="1">
      <c r="A131" s="16" t="s">
        <v>56</v>
      </c>
      <c r="B131" s="68"/>
      <c r="C131" s="69"/>
      <c r="D131" s="69"/>
      <c r="E131" s="70"/>
      <c r="F131" s="22"/>
      <c r="G131" s="22"/>
      <c r="H131" s="22"/>
      <c r="I131" s="22"/>
      <c r="J131" s="22"/>
      <c r="K131" s="22"/>
      <c r="L131" s="22"/>
      <c r="M131" s="22"/>
      <c r="N131" s="22"/>
    </row>
    <row r="132" spans="1:14" s="2" customFormat="1" ht="24.95" customHeight="1">
      <c r="A132" s="15" t="s">
        <v>57</v>
      </c>
      <c r="B132" s="63"/>
      <c r="C132" s="64"/>
      <c r="D132" s="64"/>
      <c r="E132" s="65"/>
      <c r="F132" s="22"/>
      <c r="G132" s="22"/>
      <c r="H132" s="22"/>
      <c r="I132" s="22"/>
      <c r="J132" s="22"/>
      <c r="K132" s="22"/>
      <c r="L132" s="22"/>
      <c r="M132" s="22"/>
      <c r="N132" s="22"/>
    </row>
    <row r="133" spans="1:14" s="2" customFormat="1" ht="24.95" customHeight="1">
      <c r="A133" s="16" t="s">
        <v>58</v>
      </c>
      <c r="B133" s="68"/>
      <c r="C133" s="69"/>
      <c r="D133" s="69"/>
      <c r="E133" s="70"/>
      <c r="F133" s="22"/>
      <c r="G133" s="22"/>
      <c r="H133" s="22"/>
      <c r="I133" s="22"/>
      <c r="J133" s="22"/>
      <c r="K133" s="22"/>
      <c r="L133" s="22"/>
      <c r="M133" s="22"/>
      <c r="N133" s="22"/>
    </row>
    <row r="134" spans="1:14" s="2" customFormat="1" ht="24.95" customHeight="1">
      <c r="A134" s="15" t="s">
        <v>59</v>
      </c>
      <c r="B134" s="63"/>
      <c r="C134" s="64"/>
      <c r="D134" s="64"/>
      <c r="E134" s="65"/>
      <c r="F134" s="22"/>
      <c r="G134" s="22"/>
      <c r="H134" s="22"/>
      <c r="I134" s="22"/>
      <c r="J134" s="22"/>
      <c r="K134" s="22"/>
      <c r="L134" s="22"/>
      <c r="M134" s="22"/>
      <c r="N134" s="22"/>
    </row>
    <row r="135" spans="1:14" s="2" customFormat="1" ht="24.95" customHeight="1">
      <c r="A135" s="16" t="s">
        <v>60</v>
      </c>
      <c r="B135" s="68"/>
      <c r="C135" s="69"/>
      <c r="D135" s="69"/>
      <c r="E135" s="70"/>
      <c r="F135" s="22"/>
      <c r="G135" s="22"/>
      <c r="H135" s="22"/>
      <c r="I135" s="22"/>
      <c r="J135" s="22"/>
      <c r="K135" s="22"/>
      <c r="L135" s="22"/>
      <c r="M135" s="22"/>
      <c r="N135" s="22"/>
    </row>
    <row r="136" spans="1:14" s="2" customFormat="1" ht="24.95" customHeight="1">
      <c r="A136" s="15" t="s">
        <v>61</v>
      </c>
      <c r="B136" s="63"/>
      <c r="C136" s="64"/>
      <c r="D136" s="64"/>
      <c r="E136" s="65"/>
      <c r="F136" s="22"/>
      <c r="G136" s="22"/>
      <c r="H136" s="22"/>
      <c r="I136" s="22"/>
      <c r="J136" s="22"/>
      <c r="K136" s="22"/>
      <c r="L136" s="22"/>
      <c r="M136" s="22"/>
      <c r="N136" s="22"/>
    </row>
    <row r="137" spans="1:14" s="2" customFormat="1" ht="24.95" customHeight="1">
      <c r="A137" s="16" t="s">
        <v>62</v>
      </c>
      <c r="B137" s="68"/>
      <c r="C137" s="69"/>
      <c r="D137" s="69"/>
      <c r="E137" s="70"/>
      <c r="F137" s="22"/>
      <c r="G137" s="22"/>
      <c r="H137" s="22"/>
      <c r="I137" s="22"/>
      <c r="J137" s="22"/>
      <c r="K137" s="22"/>
      <c r="L137" s="22"/>
      <c r="M137" s="22"/>
      <c r="N137" s="22"/>
    </row>
    <row r="138" spans="1:14" s="2" customFormat="1" ht="24.95" customHeight="1">
      <c r="A138" s="15" t="s">
        <v>63</v>
      </c>
      <c r="B138" s="63"/>
      <c r="C138" s="64"/>
      <c r="D138" s="64"/>
      <c r="E138" s="65"/>
      <c r="F138" s="22"/>
      <c r="G138" s="22"/>
      <c r="H138" s="22"/>
      <c r="I138" s="22"/>
      <c r="J138" s="22"/>
      <c r="K138" s="22"/>
      <c r="L138" s="22"/>
      <c r="M138" s="22"/>
      <c r="N138" s="22"/>
    </row>
    <row r="139" spans="1:14" s="2" customFormat="1" ht="24.95" customHeight="1">
      <c r="A139" s="16" t="s">
        <v>64</v>
      </c>
      <c r="B139" s="68"/>
      <c r="C139" s="69"/>
      <c r="D139" s="69"/>
      <c r="E139" s="70"/>
      <c r="F139" s="22"/>
      <c r="G139" s="22"/>
      <c r="H139" s="22"/>
      <c r="I139" s="22"/>
      <c r="J139" s="22"/>
      <c r="K139" s="22"/>
      <c r="L139" s="22"/>
      <c r="M139" s="22"/>
      <c r="N139" s="22"/>
    </row>
    <row r="140" spans="1:14" s="2" customFormat="1" ht="24.95" customHeight="1">
      <c r="A140" s="15" t="s">
        <v>65</v>
      </c>
      <c r="B140" s="63"/>
      <c r="C140" s="64"/>
      <c r="D140" s="64"/>
      <c r="E140" s="65"/>
      <c r="F140" s="22"/>
      <c r="G140" s="22"/>
      <c r="H140" s="22"/>
      <c r="I140" s="22"/>
      <c r="J140" s="22"/>
      <c r="K140" s="22"/>
      <c r="L140" s="22"/>
      <c r="M140" s="22"/>
      <c r="N140" s="22"/>
    </row>
    <row r="141" spans="1:14" s="2" customFormat="1" ht="24.95" customHeight="1">
      <c r="A141" s="16" t="s">
        <v>66</v>
      </c>
      <c r="B141" s="68"/>
      <c r="C141" s="69"/>
      <c r="D141" s="69"/>
      <c r="E141" s="70"/>
      <c r="F141" s="22"/>
      <c r="G141" s="22"/>
      <c r="H141" s="22"/>
      <c r="I141" s="22"/>
      <c r="J141" s="22"/>
      <c r="K141" s="22"/>
      <c r="L141" s="22"/>
      <c r="M141" s="22"/>
      <c r="N141" s="22"/>
    </row>
    <row r="142" spans="1:14" s="2" customFormat="1" ht="24.95" customHeight="1">
      <c r="A142" s="15" t="s">
        <v>67</v>
      </c>
      <c r="B142" s="63"/>
      <c r="C142" s="64"/>
      <c r="D142" s="64"/>
      <c r="E142" s="65"/>
      <c r="F142" s="22"/>
      <c r="G142" s="22"/>
      <c r="H142" s="22"/>
      <c r="I142" s="22"/>
      <c r="J142" s="22"/>
      <c r="K142" s="22"/>
      <c r="L142" s="22"/>
      <c r="M142" s="22"/>
      <c r="N142" s="22"/>
    </row>
    <row r="143" spans="1:14" s="2" customFormat="1" ht="24.95" customHeight="1">
      <c r="A143" s="16" t="s">
        <v>68</v>
      </c>
      <c r="B143" s="68"/>
      <c r="C143" s="69"/>
      <c r="D143" s="69"/>
      <c r="E143" s="70"/>
      <c r="F143" s="22"/>
      <c r="G143" s="22"/>
      <c r="H143" s="22"/>
      <c r="I143" s="22"/>
      <c r="J143" s="22"/>
      <c r="K143" s="22"/>
      <c r="L143" s="22"/>
      <c r="M143" s="22"/>
      <c r="N143" s="22"/>
    </row>
    <row r="144" spans="1:14" s="2" customFormat="1" ht="24.95" customHeight="1">
      <c r="A144" s="15" t="s">
        <v>69</v>
      </c>
      <c r="B144" s="63"/>
      <c r="C144" s="64"/>
      <c r="D144" s="64"/>
      <c r="E144" s="65"/>
      <c r="F144" s="22"/>
      <c r="G144" s="22"/>
      <c r="H144" s="22"/>
      <c r="I144" s="22"/>
      <c r="J144" s="22"/>
      <c r="K144" s="22"/>
      <c r="L144" s="22"/>
      <c r="M144" s="22"/>
      <c r="N144" s="22"/>
    </row>
    <row r="145" spans="1:14" s="2" customFormat="1" ht="24.95" customHeight="1">
      <c r="A145" s="16" t="s">
        <v>70</v>
      </c>
      <c r="B145" s="68"/>
      <c r="C145" s="69"/>
      <c r="D145" s="69"/>
      <c r="E145" s="70"/>
      <c r="F145" s="22"/>
      <c r="G145" s="22"/>
      <c r="H145" s="22"/>
      <c r="I145" s="22"/>
      <c r="J145" s="22"/>
      <c r="K145" s="22"/>
      <c r="L145" s="22"/>
      <c r="M145" s="22"/>
      <c r="N145" s="22"/>
    </row>
    <row r="146" spans="1:14" s="2" customFormat="1" ht="24.95" customHeight="1">
      <c r="A146" s="15" t="s">
        <v>71</v>
      </c>
      <c r="B146" s="63"/>
      <c r="C146" s="64"/>
      <c r="D146" s="64"/>
      <c r="E146" s="65"/>
      <c r="F146" s="22"/>
      <c r="G146" s="22"/>
      <c r="H146" s="22"/>
      <c r="I146" s="22"/>
      <c r="J146" s="22"/>
      <c r="K146" s="22"/>
      <c r="L146" s="22"/>
      <c r="M146" s="22"/>
      <c r="N146" s="22"/>
    </row>
    <row r="147" spans="1:14" s="2" customFormat="1" ht="24.95" customHeight="1">
      <c r="A147" s="16" t="s">
        <v>72</v>
      </c>
      <c r="B147" s="68"/>
      <c r="C147" s="69"/>
      <c r="D147" s="69"/>
      <c r="E147" s="70"/>
      <c r="F147" s="22"/>
      <c r="G147" s="22"/>
      <c r="H147" s="22"/>
      <c r="I147" s="22"/>
      <c r="J147" s="22"/>
      <c r="K147" s="22"/>
      <c r="L147" s="22"/>
      <c r="M147" s="22"/>
      <c r="N147" s="22"/>
    </row>
    <row r="148" spans="1:14" s="2" customFormat="1" ht="24.95" customHeight="1">
      <c r="A148" s="15" t="s">
        <v>73</v>
      </c>
      <c r="B148" s="63"/>
      <c r="C148" s="64"/>
      <c r="D148" s="64"/>
      <c r="E148" s="65"/>
      <c r="F148" s="22"/>
      <c r="G148" s="22"/>
      <c r="H148" s="22"/>
      <c r="I148" s="22"/>
      <c r="J148" s="22"/>
      <c r="K148" s="22"/>
      <c r="L148" s="22"/>
      <c r="M148" s="22"/>
      <c r="N148" s="22"/>
    </row>
    <row r="149" spans="1:14" s="2" customFormat="1" ht="24.95" customHeight="1">
      <c r="A149" s="16" t="s">
        <v>74</v>
      </c>
      <c r="B149" s="68"/>
      <c r="C149" s="69"/>
      <c r="D149" s="69"/>
      <c r="E149" s="70"/>
      <c r="F149" s="22"/>
      <c r="G149" s="22"/>
      <c r="H149" s="22"/>
      <c r="I149" s="22"/>
      <c r="J149" s="22"/>
      <c r="K149" s="22"/>
      <c r="L149" s="22"/>
      <c r="M149" s="22"/>
      <c r="N149" s="22"/>
    </row>
    <row r="150" spans="1:14" s="2" customFormat="1" ht="24.95" customHeight="1">
      <c r="A150" s="15" t="s">
        <v>75</v>
      </c>
      <c r="B150" s="63"/>
      <c r="C150" s="64"/>
      <c r="D150" s="64"/>
      <c r="E150" s="65"/>
      <c r="F150" s="22"/>
      <c r="G150" s="22"/>
      <c r="H150" s="22"/>
      <c r="I150" s="22"/>
      <c r="J150" s="22"/>
      <c r="K150" s="22"/>
      <c r="L150" s="22"/>
      <c r="M150" s="22"/>
      <c r="N150" s="22"/>
    </row>
    <row r="151" spans="1:14" s="2" customFormat="1" ht="24.95" customHeight="1">
      <c r="A151" s="16" t="s">
        <v>76</v>
      </c>
      <c r="B151" s="68"/>
      <c r="C151" s="69"/>
      <c r="D151" s="69"/>
      <c r="E151" s="70"/>
      <c r="F151" s="22"/>
      <c r="G151" s="22"/>
      <c r="H151" s="22"/>
      <c r="I151" s="22"/>
      <c r="J151" s="22"/>
      <c r="K151" s="22"/>
      <c r="L151" s="22"/>
      <c r="M151" s="22"/>
      <c r="N151" s="22"/>
    </row>
    <row r="152" spans="1:14" s="2" customFormat="1" ht="24.95" customHeight="1">
      <c r="A152" s="15" t="s">
        <v>77</v>
      </c>
      <c r="B152" s="63"/>
      <c r="C152" s="64"/>
      <c r="D152" s="64"/>
      <c r="E152" s="65"/>
      <c r="F152" s="22"/>
      <c r="G152" s="22"/>
      <c r="H152" s="22"/>
      <c r="I152" s="22"/>
      <c r="J152" s="22"/>
      <c r="K152" s="22"/>
      <c r="L152" s="22"/>
      <c r="M152" s="22"/>
      <c r="N152" s="22"/>
    </row>
    <row r="153" spans="1:14" s="2" customFormat="1" ht="24.95" customHeight="1">
      <c r="A153" s="16" t="s">
        <v>79</v>
      </c>
      <c r="B153" s="68"/>
      <c r="C153" s="69"/>
      <c r="D153" s="69"/>
      <c r="E153" s="70"/>
      <c r="F153" s="22"/>
      <c r="G153" s="22"/>
      <c r="H153" s="22"/>
      <c r="I153" s="22"/>
      <c r="J153" s="22"/>
      <c r="K153" s="22"/>
      <c r="L153" s="22"/>
      <c r="M153" s="22"/>
      <c r="N153" s="22"/>
    </row>
    <row r="154" spans="1:14" s="2" customFormat="1" ht="24.95" customHeight="1">
      <c r="A154" s="15" t="s">
        <v>80</v>
      </c>
      <c r="B154" s="63"/>
      <c r="C154" s="64"/>
      <c r="D154" s="64"/>
      <c r="E154" s="65"/>
      <c r="F154" s="22"/>
      <c r="G154" s="22"/>
      <c r="H154" s="22"/>
      <c r="I154" s="22"/>
      <c r="J154" s="22"/>
      <c r="K154" s="22"/>
      <c r="L154" s="22"/>
      <c r="M154" s="22"/>
      <c r="N154" s="22"/>
    </row>
    <row r="155" spans="1:14" s="2" customFormat="1" ht="24.95" customHeight="1">
      <c r="A155" s="16" t="s">
        <v>81</v>
      </c>
      <c r="B155" s="68"/>
      <c r="C155" s="69"/>
      <c r="D155" s="69"/>
      <c r="E155" s="70"/>
      <c r="F155" s="22"/>
      <c r="G155" s="22"/>
      <c r="H155" s="22"/>
      <c r="I155" s="22"/>
      <c r="J155" s="22"/>
      <c r="K155" s="22"/>
      <c r="L155" s="22"/>
      <c r="M155" s="22"/>
      <c r="N155" s="22"/>
    </row>
    <row r="156" spans="1:14" s="2" customFormat="1" ht="24.95" customHeight="1">
      <c r="A156" s="15" t="s">
        <v>82</v>
      </c>
      <c r="B156" s="63"/>
      <c r="C156" s="64"/>
      <c r="D156" s="64"/>
      <c r="E156" s="65"/>
      <c r="F156" s="22"/>
      <c r="G156" s="22"/>
      <c r="H156" s="22"/>
      <c r="I156" s="22"/>
      <c r="J156" s="22"/>
      <c r="K156" s="22"/>
      <c r="L156" s="22"/>
      <c r="M156" s="22"/>
      <c r="N156" s="22"/>
    </row>
    <row r="157" spans="1:14" s="2" customFormat="1" ht="24.95" customHeight="1">
      <c r="A157" s="16" t="s">
        <v>83</v>
      </c>
      <c r="B157" s="68"/>
      <c r="C157" s="69"/>
      <c r="D157" s="69"/>
      <c r="E157" s="70"/>
      <c r="F157" s="22"/>
      <c r="G157" s="22"/>
      <c r="H157" s="22"/>
      <c r="I157" s="22"/>
      <c r="J157" s="22"/>
      <c r="K157" s="22"/>
      <c r="L157" s="22"/>
      <c r="M157" s="22"/>
      <c r="N157" s="22"/>
    </row>
    <row r="158" spans="1:14" s="2" customFormat="1" ht="24.95" customHeight="1">
      <c r="A158" s="15" t="s">
        <v>84</v>
      </c>
      <c r="B158" s="63"/>
      <c r="C158" s="64"/>
      <c r="D158" s="64"/>
      <c r="E158" s="65"/>
      <c r="F158" s="22"/>
      <c r="G158" s="22"/>
      <c r="H158" s="22"/>
      <c r="I158" s="22"/>
      <c r="J158" s="22"/>
      <c r="K158" s="22"/>
      <c r="L158" s="22"/>
      <c r="M158" s="22"/>
      <c r="N158" s="22"/>
    </row>
    <row r="159" spans="1:14" s="2" customFormat="1" ht="24.95" customHeight="1">
      <c r="A159" s="16" t="s">
        <v>85</v>
      </c>
      <c r="B159" s="68"/>
      <c r="C159" s="69"/>
      <c r="D159" s="69"/>
      <c r="E159" s="70"/>
      <c r="F159" s="22"/>
      <c r="G159" s="22"/>
      <c r="H159" s="22"/>
      <c r="I159" s="22"/>
      <c r="J159" s="22"/>
      <c r="K159" s="22"/>
      <c r="L159" s="22"/>
      <c r="M159" s="22"/>
      <c r="N159" s="22"/>
    </row>
    <row r="160" spans="1:14" s="2" customFormat="1" ht="24.95" customHeight="1">
      <c r="A160" s="15" t="s">
        <v>87</v>
      </c>
      <c r="B160" s="63"/>
      <c r="C160" s="64"/>
      <c r="D160" s="64"/>
      <c r="E160" s="65"/>
      <c r="F160" s="22"/>
      <c r="G160" s="22"/>
      <c r="H160" s="22"/>
      <c r="I160" s="22"/>
      <c r="J160" s="22"/>
      <c r="K160" s="22"/>
      <c r="L160" s="22"/>
      <c r="M160" s="22"/>
      <c r="N160" s="22"/>
    </row>
    <row r="161" spans="1:14" s="2" customFormat="1" ht="24.95" customHeight="1">
      <c r="A161" s="16" t="s">
        <v>88</v>
      </c>
      <c r="B161" s="68"/>
      <c r="C161" s="69"/>
      <c r="D161" s="69"/>
      <c r="E161" s="70"/>
      <c r="F161" s="22"/>
      <c r="G161" s="22"/>
      <c r="H161" s="22"/>
      <c r="I161" s="22"/>
      <c r="J161" s="22"/>
      <c r="K161" s="22"/>
      <c r="L161" s="22"/>
      <c r="M161" s="22"/>
      <c r="N161" s="22"/>
    </row>
    <row r="162" spans="1:14" s="2" customFormat="1" ht="24.95" customHeight="1">
      <c r="A162" s="15" t="s">
        <v>89</v>
      </c>
      <c r="B162" s="63"/>
      <c r="C162" s="64"/>
      <c r="D162" s="64"/>
      <c r="E162" s="65"/>
      <c r="F162" s="22"/>
      <c r="G162" s="22"/>
      <c r="H162" s="22"/>
      <c r="I162" s="22"/>
      <c r="J162" s="22"/>
      <c r="K162" s="22"/>
      <c r="L162" s="22"/>
      <c r="M162" s="22"/>
      <c r="N162" s="22"/>
    </row>
    <row r="163" spans="1:14" s="2" customFormat="1" ht="24.95" customHeight="1">
      <c r="A163" s="16" t="s">
        <v>90</v>
      </c>
      <c r="B163" s="68"/>
      <c r="C163" s="69"/>
      <c r="D163" s="69"/>
      <c r="E163" s="70"/>
      <c r="F163" s="22"/>
      <c r="G163" s="22"/>
      <c r="H163" s="22"/>
      <c r="I163" s="22"/>
      <c r="J163" s="22"/>
      <c r="K163" s="22"/>
      <c r="L163" s="22"/>
      <c r="M163" s="22"/>
      <c r="N163" s="22"/>
    </row>
    <row r="164" spans="1:14" s="2" customFormat="1" ht="24.95" customHeight="1">
      <c r="A164" s="15" t="s">
        <v>91</v>
      </c>
      <c r="B164" s="63"/>
      <c r="C164" s="64"/>
      <c r="D164" s="64"/>
      <c r="E164" s="65"/>
      <c r="F164" s="22"/>
      <c r="G164" s="22"/>
      <c r="H164" s="22"/>
      <c r="I164" s="22"/>
      <c r="J164" s="22"/>
      <c r="K164" s="22"/>
      <c r="L164" s="22"/>
      <c r="M164" s="22"/>
      <c r="N164" s="22"/>
    </row>
    <row r="165" spans="1:14" s="2" customFormat="1" ht="24.95" customHeight="1">
      <c r="A165" s="16" t="s">
        <v>92</v>
      </c>
      <c r="B165" s="68"/>
      <c r="C165" s="69"/>
      <c r="D165" s="69"/>
      <c r="E165" s="70"/>
      <c r="F165" s="22"/>
      <c r="G165" s="22"/>
      <c r="H165" s="22"/>
      <c r="I165" s="22"/>
      <c r="J165" s="22"/>
      <c r="K165" s="22"/>
      <c r="L165" s="22"/>
      <c r="M165" s="22"/>
      <c r="N165" s="22"/>
    </row>
    <row r="166" spans="1:14" s="2" customFormat="1" ht="24.95" customHeight="1">
      <c r="A166" s="15" t="s">
        <v>93</v>
      </c>
      <c r="B166" s="63"/>
      <c r="C166" s="64"/>
      <c r="D166" s="64"/>
      <c r="E166" s="65"/>
      <c r="F166" s="22"/>
      <c r="G166" s="22"/>
      <c r="H166" s="22"/>
      <c r="I166" s="22"/>
      <c r="J166" s="22"/>
      <c r="K166" s="22"/>
      <c r="L166" s="22"/>
      <c r="M166" s="22"/>
      <c r="N166" s="22"/>
    </row>
    <row r="167" spans="1:14" s="2" customFormat="1" ht="24.95" customHeight="1">
      <c r="A167" s="16" t="s">
        <v>94</v>
      </c>
      <c r="B167" s="68"/>
      <c r="C167" s="69"/>
      <c r="D167" s="69"/>
      <c r="E167" s="70"/>
      <c r="F167" s="22"/>
      <c r="G167" s="22"/>
      <c r="H167" s="22"/>
      <c r="I167" s="22"/>
      <c r="J167" s="22"/>
      <c r="K167" s="22"/>
      <c r="L167" s="22"/>
      <c r="M167" s="22"/>
      <c r="N167" s="22"/>
    </row>
    <row r="168" spans="1:14" s="2" customFormat="1" ht="24.95" customHeight="1">
      <c r="A168" s="15" t="s">
        <v>95</v>
      </c>
      <c r="B168" s="63"/>
      <c r="C168" s="64"/>
      <c r="D168" s="64"/>
      <c r="E168" s="65"/>
      <c r="F168" s="22"/>
      <c r="G168" s="22"/>
      <c r="H168" s="22"/>
      <c r="I168" s="22"/>
      <c r="J168" s="22"/>
      <c r="K168" s="22"/>
      <c r="L168" s="22"/>
      <c r="M168" s="22"/>
      <c r="N168" s="22"/>
    </row>
    <row r="169" spans="1:14" ht="24.95" customHeight="1">
      <c r="A169" s="16" t="s">
        <v>108</v>
      </c>
      <c r="B169" s="73"/>
      <c r="C169" s="74"/>
      <c r="D169" s="74"/>
      <c r="E169" s="75"/>
      <c r="N169" s="4"/>
    </row>
    <row r="170" spans="1:14">
      <c r="B170" s="52"/>
      <c r="N170" s="4"/>
    </row>
    <row r="171" spans="1:14">
      <c r="B171" s="52"/>
      <c r="N171" s="4"/>
    </row>
    <row r="172" spans="1:14">
      <c r="N172" s="4"/>
    </row>
    <row r="173" spans="1:14">
      <c r="N173" s="4"/>
    </row>
    <row r="174" spans="1:14">
      <c r="N174" s="4"/>
    </row>
    <row r="175" spans="1:14">
      <c r="N175" s="4"/>
    </row>
    <row r="176" spans="1:14">
      <c r="N176" s="4"/>
    </row>
    <row r="177" spans="14:14">
      <c r="N177" s="4"/>
    </row>
    <row r="178" spans="14:14">
      <c r="N178" s="4"/>
    </row>
    <row r="179" spans="14:14">
      <c r="N179" s="4"/>
    </row>
    <row r="180" spans="14:14">
      <c r="N180" s="4"/>
    </row>
    <row r="181" spans="14:14">
      <c r="N181" s="4"/>
    </row>
    <row r="182" spans="14:14">
      <c r="N182" s="4"/>
    </row>
    <row r="183" spans="14:14">
      <c r="N183" s="4"/>
    </row>
    <row r="184" spans="14:14">
      <c r="N184" s="4"/>
    </row>
    <row r="185" spans="14:14">
      <c r="N185" s="4"/>
    </row>
    <row r="186" spans="14:14">
      <c r="N186" s="4"/>
    </row>
    <row r="187" spans="14:14">
      <c r="N187" s="4"/>
    </row>
    <row r="188" spans="14:14">
      <c r="N188" s="4"/>
    </row>
    <row r="189" spans="14:14">
      <c r="N189" s="4"/>
    </row>
    <row r="190" spans="14:14">
      <c r="N190" s="4"/>
    </row>
    <row r="191" spans="14:14">
      <c r="N191" s="4"/>
    </row>
    <row r="192" spans="14:14">
      <c r="N192" s="4"/>
    </row>
    <row r="193" spans="14:14">
      <c r="N193" s="4"/>
    </row>
    <row r="194" spans="14:14">
      <c r="N194" s="4"/>
    </row>
    <row r="195" spans="14:14">
      <c r="N195" s="4"/>
    </row>
    <row r="196" spans="14:14">
      <c r="N196" s="4"/>
    </row>
    <row r="197" spans="14:14">
      <c r="N197" s="4"/>
    </row>
    <row r="198" spans="14:14">
      <c r="N198" s="4"/>
    </row>
    <row r="199" spans="14:14">
      <c r="N199" s="4"/>
    </row>
    <row r="200" spans="14:14">
      <c r="N200" s="4"/>
    </row>
    <row r="201" spans="14:14">
      <c r="N201" s="4"/>
    </row>
    <row r="202" spans="14:14">
      <c r="N202" s="4"/>
    </row>
    <row r="203" spans="14:14">
      <c r="N203" s="4"/>
    </row>
    <row r="204" spans="14:14">
      <c r="N204" s="4"/>
    </row>
    <row r="205" spans="14:14">
      <c r="N205" s="4"/>
    </row>
    <row r="206" spans="14:14">
      <c r="N206" s="4"/>
    </row>
    <row r="207" spans="14:14">
      <c r="N207" s="4"/>
    </row>
    <row r="208" spans="14:14">
      <c r="N208" s="4"/>
    </row>
    <row r="209" spans="14:14">
      <c r="N209" s="4"/>
    </row>
    <row r="210" spans="14:14">
      <c r="N210" s="4"/>
    </row>
    <row r="211" spans="14:14">
      <c r="N211" s="4"/>
    </row>
    <row r="212" spans="14:14">
      <c r="N212" s="4"/>
    </row>
    <row r="213" spans="14:14">
      <c r="N213" s="4"/>
    </row>
    <row r="214" spans="14:14">
      <c r="N214" s="4"/>
    </row>
    <row r="215" spans="14:14">
      <c r="N215" s="4"/>
    </row>
    <row r="216" spans="14:14">
      <c r="N216" s="4"/>
    </row>
    <row r="217" spans="14:14">
      <c r="N217" s="4"/>
    </row>
    <row r="218" spans="14:14">
      <c r="N218" s="4"/>
    </row>
    <row r="219" spans="14:14">
      <c r="N219" s="4"/>
    </row>
    <row r="220" spans="14:14">
      <c r="N220" s="4"/>
    </row>
    <row r="221" spans="14:14">
      <c r="N221" s="4"/>
    </row>
    <row r="222" spans="14:14">
      <c r="N222" s="4"/>
    </row>
    <row r="223" spans="14:14">
      <c r="N223" s="4"/>
    </row>
    <row r="224" spans="14:14">
      <c r="N224" s="4"/>
    </row>
    <row r="225" spans="14:14">
      <c r="N225" s="4"/>
    </row>
    <row r="226" spans="14:14">
      <c r="N226" s="4"/>
    </row>
    <row r="227" spans="14:14">
      <c r="N227" s="4"/>
    </row>
    <row r="228" spans="14:14">
      <c r="N228" s="4"/>
    </row>
    <row r="229" spans="14:14">
      <c r="N229" s="4"/>
    </row>
    <row r="230" spans="14:14">
      <c r="N230" s="4"/>
    </row>
    <row r="231" spans="14:14">
      <c r="N231" s="4"/>
    </row>
    <row r="232" spans="14:14">
      <c r="N232" s="4"/>
    </row>
    <row r="233" spans="14:14">
      <c r="N233" s="4"/>
    </row>
    <row r="234" spans="14:14">
      <c r="N234" s="4"/>
    </row>
    <row r="235" spans="14:14">
      <c r="N235" s="4"/>
    </row>
    <row r="236" spans="14:14">
      <c r="N236" s="4"/>
    </row>
    <row r="237" spans="14:14">
      <c r="N237" s="4"/>
    </row>
    <row r="238" spans="14:14">
      <c r="N238" s="4"/>
    </row>
    <row r="239" spans="14:14">
      <c r="N239" s="4"/>
    </row>
    <row r="240" spans="14:14">
      <c r="N240" s="4"/>
    </row>
    <row r="241" spans="14:14">
      <c r="N241" s="4"/>
    </row>
    <row r="242" spans="14:14">
      <c r="N242" s="4"/>
    </row>
    <row r="243" spans="14:14">
      <c r="N243" s="4"/>
    </row>
    <row r="244" spans="14:14">
      <c r="N244" s="4"/>
    </row>
    <row r="245" spans="14:14">
      <c r="N245" s="4"/>
    </row>
    <row r="246" spans="14:14">
      <c r="N246" s="4"/>
    </row>
    <row r="247" spans="14:14">
      <c r="N247" s="4"/>
    </row>
    <row r="248" spans="14:14">
      <c r="N248" s="4"/>
    </row>
    <row r="249" spans="14:14">
      <c r="N249" s="4"/>
    </row>
    <row r="250" spans="14:14">
      <c r="N250" s="4"/>
    </row>
    <row r="251" spans="14:14">
      <c r="N251" s="4"/>
    </row>
    <row r="252" spans="14:14">
      <c r="N252" s="4"/>
    </row>
    <row r="253" spans="14:14">
      <c r="N253" s="4"/>
    </row>
    <row r="254" spans="14:14">
      <c r="N254" s="4"/>
    </row>
    <row r="255" spans="14:14">
      <c r="N255" s="4"/>
    </row>
    <row r="256" spans="14:14">
      <c r="N256" s="4"/>
    </row>
    <row r="257" spans="14:14">
      <c r="N257" s="4"/>
    </row>
    <row r="258" spans="14:14">
      <c r="N258" s="4"/>
    </row>
    <row r="259" spans="14:14">
      <c r="N259" s="4"/>
    </row>
    <row r="260" spans="14:14">
      <c r="N260" s="4"/>
    </row>
    <row r="261" spans="14:14">
      <c r="N261" s="4"/>
    </row>
    <row r="262" spans="14:14">
      <c r="N262" s="4"/>
    </row>
    <row r="263" spans="14:14">
      <c r="N263" s="4"/>
    </row>
    <row r="264" spans="14:14">
      <c r="N264" s="4"/>
    </row>
    <row r="265" spans="14:14">
      <c r="N265" s="4"/>
    </row>
    <row r="266" spans="14:14">
      <c r="N266" s="4"/>
    </row>
    <row r="267" spans="14:14">
      <c r="N267" s="4"/>
    </row>
    <row r="268" spans="14:14">
      <c r="N268" s="4"/>
    </row>
    <row r="269" spans="14:14">
      <c r="N269" s="4"/>
    </row>
    <row r="270" spans="14:14">
      <c r="N270" s="4"/>
    </row>
    <row r="271" spans="14:14">
      <c r="N271" s="4"/>
    </row>
    <row r="272" spans="14:14">
      <c r="N272" s="4"/>
    </row>
    <row r="273" spans="14:14">
      <c r="N273" s="4"/>
    </row>
    <row r="274" spans="14:14">
      <c r="N274" s="4"/>
    </row>
    <row r="275" spans="14:14">
      <c r="N275" s="4"/>
    </row>
    <row r="276" spans="14:14">
      <c r="N276" s="4"/>
    </row>
    <row r="277" spans="14:14">
      <c r="N277" s="4"/>
    </row>
    <row r="278" spans="14:14">
      <c r="N278" s="4"/>
    </row>
    <row r="279" spans="14:14">
      <c r="N279" s="4"/>
    </row>
    <row r="280" spans="14:14">
      <c r="N280" s="4"/>
    </row>
    <row r="281" spans="14:14">
      <c r="N281" s="4"/>
    </row>
    <row r="282" spans="14:14">
      <c r="N282" s="4"/>
    </row>
    <row r="283" spans="14:14">
      <c r="N283" s="4"/>
    </row>
    <row r="284" spans="14:14">
      <c r="N284" s="4"/>
    </row>
    <row r="285" spans="14:14">
      <c r="N285" s="4"/>
    </row>
    <row r="286" spans="14:14">
      <c r="N286" s="4"/>
    </row>
    <row r="287" spans="14:14">
      <c r="N287" s="4"/>
    </row>
    <row r="288" spans="14:14">
      <c r="N288" s="4"/>
    </row>
    <row r="289" spans="14:14">
      <c r="N289" s="4"/>
    </row>
    <row r="290" spans="14:14">
      <c r="N290" s="4"/>
    </row>
    <row r="291" spans="14:14">
      <c r="N291" s="4"/>
    </row>
    <row r="292" spans="14:14">
      <c r="N292" s="4"/>
    </row>
    <row r="293" spans="14:14">
      <c r="N293" s="4"/>
    </row>
    <row r="294" spans="14:14">
      <c r="N294" s="4"/>
    </row>
  </sheetData>
  <mergeCells count="87">
    <mergeCell ref="B169:E169"/>
    <mergeCell ref="B165:E165"/>
    <mergeCell ref="B166:E166"/>
    <mergeCell ref="B167:E167"/>
    <mergeCell ref="B168:E168"/>
    <mergeCell ref="N1:N2"/>
    <mergeCell ref="B160:E160"/>
    <mergeCell ref="B161:E161"/>
    <mergeCell ref="B162:E162"/>
    <mergeCell ref="B163:E163"/>
    <mergeCell ref="B150:E150"/>
    <mergeCell ref="B151:E151"/>
    <mergeCell ref="B152:E152"/>
    <mergeCell ref="B153:E153"/>
    <mergeCell ref="B154:E154"/>
    <mergeCell ref="B145:E145"/>
    <mergeCell ref="B146:E146"/>
    <mergeCell ref="B147:E147"/>
    <mergeCell ref="B148:E148"/>
    <mergeCell ref="B149:E149"/>
    <mergeCell ref="B140:E140"/>
    <mergeCell ref="B164:E164"/>
    <mergeCell ref="B155:E155"/>
    <mergeCell ref="B156:E156"/>
    <mergeCell ref="B157:E157"/>
    <mergeCell ref="B158:E158"/>
    <mergeCell ref="B159:E159"/>
    <mergeCell ref="B141:E141"/>
    <mergeCell ref="B142:E142"/>
    <mergeCell ref="B143:E143"/>
    <mergeCell ref="B144:E144"/>
    <mergeCell ref="B135:E135"/>
    <mergeCell ref="B136:E136"/>
    <mergeCell ref="B137:E137"/>
    <mergeCell ref="B138:E138"/>
    <mergeCell ref="B139:E139"/>
    <mergeCell ref="B130:E130"/>
    <mergeCell ref="B131:E131"/>
    <mergeCell ref="B132:E132"/>
    <mergeCell ref="B133:E133"/>
    <mergeCell ref="B134:E134"/>
    <mergeCell ref="B125:E125"/>
    <mergeCell ref="B126:E126"/>
    <mergeCell ref="B127:E127"/>
    <mergeCell ref="B128:E128"/>
    <mergeCell ref="B129:E129"/>
    <mergeCell ref="B120:E120"/>
    <mergeCell ref="B121:E121"/>
    <mergeCell ref="B122:E122"/>
    <mergeCell ref="B123:E123"/>
    <mergeCell ref="B124:E124"/>
    <mergeCell ref="B115:E115"/>
    <mergeCell ref="B116:E116"/>
    <mergeCell ref="B117:E117"/>
    <mergeCell ref="B118:E118"/>
    <mergeCell ref="B119:E119"/>
    <mergeCell ref="B110:E110"/>
    <mergeCell ref="B111:E111"/>
    <mergeCell ref="B112:E112"/>
    <mergeCell ref="B113:E113"/>
    <mergeCell ref="B114:E114"/>
    <mergeCell ref="B105:E105"/>
    <mergeCell ref="B106:E106"/>
    <mergeCell ref="B107:E107"/>
    <mergeCell ref="B108:E108"/>
    <mergeCell ref="B109:E109"/>
    <mergeCell ref="B100:E100"/>
    <mergeCell ref="B101:E101"/>
    <mergeCell ref="B102:E102"/>
    <mergeCell ref="B103:E103"/>
    <mergeCell ref="B104:E104"/>
    <mergeCell ref="B95:E95"/>
    <mergeCell ref="B96:E96"/>
    <mergeCell ref="B97:E97"/>
    <mergeCell ref="B98:E98"/>
    <mergeCell ref="B99:E99"/>
    <mergeCell ref="B90:E90"/>
    <mergeCell ref="B91:E91"/>
    <mergeCell ref="B92:E92"/>
    <mergeCell ref="B93:E93"/>
    <mergeCell ref="B94:E94"/>
    <mergeCell ref="A86:A87"/>
    <mergeCell ref="B88:E88"/>
    <mergeCell ref="A1:A2"/>
    <mergeCell ref="B86:E87"/>
    <mergeCell ref="B89:E89"/>
    <mergeCell ref="B1:M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0</cp:revision>
  <dcterms:created xsi:type="dcterms:W3CDTF">2026-04-23T20:35:35Z</dcterms:created>
  <dcterms:modified xsi:type="dcterms:W3CDTF">2026-04-28T17:04:11Z</dcterms:modified>
  <cp:category/>
  <cp:contentStatus/>
</cp:coreProperties>
</file>